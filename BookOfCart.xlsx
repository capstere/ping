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Main/"/>
    </mc:Choice>
  </mc:AlternateContent>
  <xr:revisionPtr revIDLastSave="0" documentId="13_ncr:1_{B31786A7-5A2C-6845-89B1-A2C991029371}" xr6:coauthVersionLast="47" xr6:coauthVersionMax="47" xr10:uidLastSave="{00000000-0000-0000-0000-000000000000}"/>
  <bookViews>
    <workbookView xWindow="0" yWindow="620" windowWidth="28800" windowHeight="15180" xr2:uid="{D33D2DD8-AFF9-4737-B3E8-3C933E4F3614}"/>
  </bookViews>
  <sheets>
    <sheet name="Information" sheetId="3" r:id="rId1"/>
    <sheet name="Seal Test Info" sheetId="2" r:id="rId2"/>
    <sheet name="STF Sum" sheetId="1" r:id="rId3"/>
    <sheet name="Utrustninglista IPT" sheetId="4" state="hidden" r:id="rId4"/>
    <sheet name="Funktionella Error" sheetId="9" r:id="rId5"/>
    <sheet name="Infinity GX" sheetId="6" r:id="rId6"/>
    <sheet name="Information2" sheetId="5" r:id="rId7"/>
    <sheet name="MTB ULTRA" sheetId="7" r:id="rId8"/>
    <sheet name="SharePoint Info" sheetId="8" r:id="rId9"/>
    <sheet name="ResultRules" sheetId="11" r:id="rId10"/>
    <sheet name="ErrorCode" sheetId="10" r:id="rId11"/>
    <sheet name="ExpectedResults" sheetId="15" r:id="rId12"/>
    <sheet name="GeneralRules" sheetId="13" r:id="rId13"/>
    <sheet name="Blad1" sheetId="14" r:id="rId14"/>
    <sheet name="Instrument Error" sheetId="12" r:id="rId15"/>
  </sheets>
  <definedNames>
    <definedName name="_xlnm._FilterDatabase" localSheetId="6" hidden="1">Information2!$A$32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Fredriksson, Jesper</author>
  </authors>
  <commentList>
    <comment ref="A1" authorId="0" shapeId="0" xr:uid="{59001269-D0F0-4B9B-87D9-F807B838DC3D}">
      <text>
        <r>
          <rPr>
            <b/>
            <sz val="9"/>
            <color indexed="81"/>
            <rFont val="Tahoma"/>
            <family val="2"/>
          </rPr>
          <t>Generell spårbarhetsinfo samt Minitab-makro om tillgängligt.</t>
        </r>
      </text>
    </comment>
    <comment ref="A7" authorId="0" shapeId="0" xr:uid="{993BAAD4-0C45-4FAA-8D8E-5559A4B52086}">
      <text>
        <r>
          <rPr>
            <b/>
            <sz val="9"/>
            <color rgb="FF000000"/>
            <rFont val="Tahoma"/>
            <family val="2"/>
          </rPr>
          <t xml:space="preserve">Kort summering av vald .csv-fil.
</t>
        </r>
      </text>
    </comment>
    <comment ref="B14" authorId="0" shapeId="0" xr:uid="{AB9A84C3-A84D-4672-B192-5A6173DAE588}">
      <text>
        <r>
          <rPr>
            <b/>
            <sz val="9"/>
            <color indexed="81"/>
            <rFont val="Tahoma"/>
            <family val="2"/>
          </rPr>
          <t>Visar alltid Bag Number och summerar antal tester på Infinity.</t>
        </r>
      </text>
    </comment>
    <comment ref="A16" authorId="0" shapeId="0" xr:uid="{D1764DE1-6360-4F96-AC38-896C27856E45}">
      <text>
        <r>
          <rPr>
            <b/>
            <sz val="9"/>
            <color indexed="81"/>
            <rFont val="Tahoma"/>
            <family val="2"/>
          </rPr>
          <t>Extreherar information från respektive fil och reagerar på avvikande innehåll.</t>
        </r>
      </text>
    </comment>
    <comment ref="A33" authorId="0" shapeId="0" xr:uid="{20FD785E-539A-4B14-A210-1A0FCA80C424}">
      <text>
        <r>
          <rPr>
            <b/>
            <sz val="9"/>
            <color rgb="FF000000"/>
            <rFont val="Tahoma"/>
            <family val="2"/>
          </rPr>
          <t>Direktlänkar till funnet "Batch Number" i SharePoint (om valt) samt diverse IPT-relaterade verktyg.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<sst xmlns="http://schemas.openxmlformats.org/spreadsheetml/2006/main" count="2437" uniqueCount="1116">
  <si>
    <t>Information</t>
  </si>
  <si>
    <t>Skriptversion</t>
  </si>
  <si>
    <t>v45.1.0</t>
  </si>
  <si>
    <t>Användare</t>
  </si>
  <si>
    <t>jesper.fredriksson</t>
  </si>
  <si>
    <t>Datum Tid</t>
  </si>
  <si>
    <t>2025-12-28 18:12</t>
  </si>
  <si>
    <t>Minitab Macro</t>
  </si>
  <si>
    <t>%D12547-MTBU-SWE</t>
  </si>
  <si>
    <t>CSV INFO</t>
  </si>
  <si>
    <t>CSV</t>
  </si>
  <si>
    <t>2099 09 09 GXMTB RIF ULTRA 92303  Tests Summary.csv</t>
  </si>
  <si>
    <t>LSP</t>
  </si>
  <si>
    <t>2 (92302 x2, 92303 x207)</t>
  </si>
  <si>
    <t>Antal tester</t>
  </si>
  <si>
    <t>209</t>
  </si>
  <si>
    <t>Dublett Sample ID</t>
  </si>
  <si>
    <t>1 (C15NOV23D_02_1_14X x2)</t>
  </si>
  <si>
    <t>Dublett Cartridge S/N</t>
  </si>
  <si>
    <t>2 (614386401 x2, 614332989 x2)</t>
  </si>
  <si>
    <t>Använda INF/GX</t>
  </si>
  <si>
    <t>GX1; GX3; GX5; Infinity-I; Infinity-V; Infinity-VI; Infinity-VIII</t>
  </si>
  <si>
    <t>Bag Numbers Tested Using Infinity:</t>
  </si>
  <si>
    <t>#00-10 x183</t>
  </si>
  <si>
    <t>HEADER INFO</t>
  </si>
  <si>
    <t>Worksheet</t>
  </si>
  <si>
    <t>2099 09 09 GXMTB RIF ULTRA 92303 Worksheet D25862.xlsx</t>
  </si>
  <si>
    <t>Part No.</t>
  </si>
  <si>
    <t>700-5702</t>
  </si>
  <si>
    <t>Avvikande flik: Data - First 10</t>
  </si>
  <si>
    <t>Batch No(s)</t>
  </si>
  <si>
    <t>1001506046</t>
  </si>
  <si>
    <t>Cartridge No. (LSP)</t>
  </si>
  <si>
    <t>92303</t>
  </si>
  <si>
    <t>Document Number</t>
  </si>
  <si>
    <t>D25862 Attachment 1</t>
  </si>
  <si>
    <t>Rev</t>
  </si>
  <si>
    <t>AW</t>
  </si>
  <si>
    <t>Effective</t>
  </si>
  <si>
    <t>9/11/2025</t>
  </si>
  <si>
    <t>Seal Test POS</t>
  </si>
  <si>
    <t>2099 09 09 GXMTB RIF ULTRA 92303 Seal Test Pos.xlsx</t>
  </si>
  <si>
    <t>D10552</t>
  </si>
  <si>
    <t>AU</t>
  </si>
  <si>
    <t>07/02/2025</t>
  </si>
  <si>
    <t>Seal Test NEG</t>
  </si>
  <si>
    <t>2099 09 09 GXMTB RIF ULTRA 92303 Seal Test Neg.xlsx</t>
  </si>
  <si>
    <t>LÄNKAR</t>
  </si>
  <si>
    <t>SharePoint Batch</t>
  </si>
  <si>
    <t>Öppna 1001506046</t>
  </si>
  <si>
    <t>IPT App</t>
  </si>
  <si>
    <t>LÄNK</t>
  </si>
  <si>
    <t>MES Login</t>
  </si>
  <si>
    <t>CSV Uploader</t>
  </si>
  <si>
    <t>BMRAM</t>
  </si>
  <si>
    <t>Agile</t>
  </si>
  <si>
    <t>Seal Test Information</t>
  </si>
  <si>
    <t>Neg</t>
  </si>
  <si>
    <t>Pos</t>
  </si>
  <si>
    <t>ROBAL</t>
  </si>
  <si>
    <t>ROBAL-006</t>
  </si>
  <si>
    <t>Part Number</t>
  </si>
  <si>
    <t>Batch Number</t>
  </si>
  <si>
    <t>1001506040</t>
  </si>
  <si>
    <t>Mismatch</t>
  </si>
  <si>
    <t>Cartridge Number (LSP)</t>
  </si>
  <si>
    <t>92302</t>
  </si>
  <si>
    <t>PO Number</t>
  </si>
  <si>
    <t>1110580</t>
  </si>
  <si>
    <t>Assay Family</t>
  </si>
  <si>
    <t>MTB</t>
  </si>
  <si>
    <t>Weight Loss Spec</t>
  </si>
  <si>
    <t>100</t>
  </si>
  <si>
    <t>Balance ID Number</t>
  </si>
  <si>
    <t>SCLSYS01, 003070</t>
  </si>
  <si>
    <t>SCLSYS03, SCLSYS04</t>
  </si>
  <si>
    <t>Balance Cal Due Date</t>
  </si>
  <si>
    <t xml:space="preserve"> Apr-26</t>
  </si>
  <si>
    <t>Vacuum Oven ID Number</t>
  </si>
  <si>
    <t>003478, 003298</t>
  </si>
  <si>
    <t>003346, 003587</t>
  </si>
  <si>
    <t>Vacuum Oven Cal Due Date</t>
  </si>
  <si>
    <t xml:space="preserve"> Jun-26</t>
  </si>
  <si>
    <t>Timer ID Number</t>
  </si>
  <si>
    <t>Nr. 18,  Nr. 19</t>
  </si>
  <si>
    <t>Nr. 20, Nr. 21</t>
  </si>
  <si>
    <t>Timer Cal Due Date</t>
  </si>
  <si>
    <t xml:space="preserve"> Mar-26</t>
  </si>
  <si>
    <t>Mar-26</t>
  </si>
  <si>
    <t>Name of Tester</t>
  </si>
  <si>
    <t>Bincenth Salazar</t>
  </si>
  <si>
    <t>David Björklund</t>
  </si>
  <si>
    <t>Katarina Ilic</t>
  </si>
  <si>
    <t>Evangelos Samakidis</t>
  </si>
  <si>
    <t>Laith Ukra</t>
  </si>
  <si>
    <t>Mahdi Hussein</t>
  </si>
  <si>
    <t>Leila Hussein</t>
  </si>
  <si>
    <t>Marina Ahmadi</t>
  </si>
  <si>
    <t>Warda Yousaf</t>
  </si>
  <si>
    <t>Toni Shabo</t>
  </si>
  <si>
    <t>Print Full Name, Sign, and Date</t>
  </si>
  <si>
    <t>Jesper, FEST, 20990505</t>
  </si>
  <si>
    <t>Datasheet</t>
  </si>
  <si>
    <t>Cartridge ID</t>
  </si>
  <si>
    <t>Initial Weight (mg)</t>
  </si>
  <si>
    <t>Final Weight (mg)</t>
  </si>
  <si>
    <t>Weight Loss (mg)</t>
  </si>
  <si>
    <t>Weight Loss Pass/Fail</t>
  </si>
  <si>
    <t>Observation</t>
  </si>
  <si>
    <t>NEG</t>
  </si>
  <si>
    <t>Datasheet (1)</t>
  </si>
  <si>
    <t>01_0_08</t>
  </si>
  <si>
    <t>FAIL</t>
  </si>
  <si>
    <t>Lid Weld (Leak)</t>
  </si>
  <si>
    <t>02_0_09</t>
  </si>
  <si>
    <t>Broken Chimney</t>
  </si>
  <si>
    <t>Datasheet (4)</t>
  </si>
  <si>
    <t>07_0_03</t>
  </si>
  <si>
    <t>Minusvärde</t>
  </si>
  <si>
    <t>NA</t>
  </si>
  <si>
    <t>08_0_04</t>
  </si>
  <si>
    <t>POS</t>
  </si>
  <si>
    <t>01_1_15</t>
  </si>
  <si>
    <t>Film Seal (Leak)</t>
  </si>
  <si>
    <t>02_2_20</t>
  </si>
  <si>
    <t>Datasheet (2)</t>
  </si>
  <si>
    <t>04_1_14</t>
  </si>
  <si>
    <t>Datasheet (3)</t>
  </si>
  <si>
    <t>05_1_15</t>
  </si>
  <si>
    <t>Datasheet (5)</t>
  </si>
  <si>
    <t>10_1_13</t>
  </si>
  <si>
    <t xml:space="preserve">     In Process Testing</t>
  </si>
  <si>
    <t>Kontroll och kalibrering</t>
  </si>
  <si>
    <t>Senast uppdaterad:</t>
  </si>
  <si>
    <t>Utförd av Cepheid</t>
  </si>
  <si>
    <t>Utförd av externt företag</t>
  </si>
  <si>
    <t xml:space="preserve">Utrusningens namn: </t>
  </si>
  <si>
    <t>Asset Type:</t>
  </si>
  <si>
    <t>Asset ID/BMRAM ID:</t>
  </si>
  <si>
    <t xml:space="preserve">Modell/serienr. </t>
  </si>
  <si>
    <t>Serial #</t>
  </si>
  <si>
    <t xml:space="preserve">Rum: </t>
  </si>
  <si>
    <t xml:space="preserve">Nästa kontroll </t>
  </si>
  <si>
    <t>Frekvens</t>
  </si>
  <si>
    <t>Nästa kontroll</t>
  </si>
  <si>
    <t>Nästa kontroll-datum</t>
  </si>
  <si>
    <t>GeneXpert / Infinity</t>
  </si>
  <si>
    <t>GeneXpert XVI - 16 Sites (Dell Computer), GX1</t>
  </si>
  <si>
    <t>GX16 Instrument</t>
  </si>
  <si>
    <t>000199</t>
  </si>
  <si>
    <t>N/A</t>
  </si>
  <si>
    <t>Positivt labb 5.575</t>
  </si>
  <si>
    <t>2 gång/år</t>
  </si>
  <si>
    <t>GeneXpert XVI - 16 Sites (Dell Computer), GX2</t>
  </si>
  <si>
    <t>000368</t>
  </si>
  <si>
    <t>GeneXpert XVI - 16 Sites (Dell Computer), GX3</t>
  </si>
  <si>
    <t>000369</t>
  </si>
  <si>
    <t>GeneXpert XVI - 16 Sites (Dell Computor), GX-7</t>
  </si>
  <si>
    <t>003474</t>
  </si>
  <si>
    <t>Infinity-I.</t>
  </si>
  <si>
    <t>Genexpert Infinity-80</t>
  </si>
  <si>
    <t>000375</t>
  </si>
  <si>
    <t>Infinity-80</t>
  </si>
  <si>
    <t>Mar-25</t>
  </si>
  <si>
    <t>Infinity-I</t>
  </si>
  <si>
    <t>Infinity-III</t>
  </si>
  <si>
    <t>001163</t>
  </si>
  <si>
    <t>Infinity-V</t>
  </si>
  <si>
    <t>002593</t>
  </si>
  <si>
    <t>Infinity-VI</t>
  </si>
  <si>
    <t>002796</t>
  </si>
  <si>
    <t>Negativt labb 5.409</t>
  </si>
  <si>
    <t>Infinity-VIII</t>
  </si>
  <si>
    <t>003066</t>
  </si>
  <si>
    <t>GeneXpert Infinity-80, PN 900-0503R</t>
  </si>
  <si>
    <t>GeneXpert XVI - 16 Sites (Dell Computor), GX5</t>
  </si>
  <si>
    <t>003081</t>
  </si>
  <si>
    <t>GeneXpert XVI - 16 Sites (Dell Computor), GX6</t>
  </si>
  <si>
    <t>003082</t>
  </si>
  <si>
    <t>Sealtest</t>
  </si>
  <si>
    <t>003478</t>
  </si>
  <si>
    <t>Vakuumugn</t>
  </si>
  <si>
    <t>VD56 + pump S/N 234346</t>
  </si>
  <si>
    <t>20230000019821</t>
  </si>
  <si>
    <t>1 gg/år</t>
  </si>
  <si>
    <t>003298</t>
  </si>
  <si>
    <t>VD56 + pump S/N 100603504-100556308</t>
  </si>
  <si>
    <t>003587</t>
  </si>
  <si>
    <t>VD56 + pump S/N 233829</t>
  </si>
  <si>
    <t>13-05094</t>
  </si>
  <si>
    <t>Positivt lab 5.576</t>
  </si>
  <si>
    <t>003346</t>
  </si>
  <si>
    <t>VD56 + pump S/N 234348</t>
  </si>
  <si>
    <t>20230000019820</t>
  </si>
  <si>
    <t>003070</t>
  </si>
  <si>
    <t>Våg</t>
  </si>
  <si>
    <t>XSR104</t>
  </si>
  <si>
    <t>C214830934</t>
  </si>
  <si>
    <t>SCLSYS01</t>
  </si>
  <si>
    <t>SWE-SCLSYS01-SCALE01</t>
  </si>
  <si>
    <t>XS104 / 850-0305</t>
  </si>
  <si>
    <t>B838450098</t>
  </si>
  <si>
    <t>SCLSYS03</t>
  </si>
  <si>
    <t>SWE-SCLSYS03-SCALE01</t>
  </si>
  <si>
    <t>XS104 / 850-0627</t>
  </si>
  <si>
    <t>B838450099</t>
  </si>
  <si>
    <t>SCLSYS04</t>
  </si>
  <si>
    <t>SWE-SCLSYS04-SCALE01</t>
  </si>
  <si>
    <t>B838450100</t>
  </si>
  <si>
    <t>Timer Nr. 18</t>
  </si>
  <si>
    <t>Timer</t>
  </si>
  <si>
    <t>003753</t>
  </si>
  <si>
    <t>EU 609-0206</t>
  </si>
  <si>
    <t>E2423931</t>
  </si>
  <si>
    <t>Timers byts ut efter att kalibreringsdatum utgått</t>
  </si>
  <si>
    <t>Timer Nr. 19</t>
  </si>
  <si>
    <t>003754</t>
  </si>
  <si>
    <t>E2423935</t>
  </si>
  <si>
    <t>Timer Nr. 20</t>
  </si>
  <si>
    <t>003755</t>
  </si>
  <si>
    <t>D2421658</t>
  </si>
  <si>
    <t>Timer Nr. 21</t>
  </si>
  <si>
    <t>003756</t>
  </si>
  <si>
    <t>D2421660</t>
  </si>
  <si>
    <t>Pippeter</t>
  </si>
  <si>
    <t>Apr-24</t>
  </si>
  <si>
    <t>Multipette® nr. 13</t>
  </si>
  <si>
    <t>Multipette</t>
  </si>
  <si>
    <t>001361</t>
  </si>
  <si>
    <t>Multipette stream E3</t>
  </si>
  <si>
    <t>G42574F</t>
  </si>
  <si>
    <t>1gång/3mån</t>
  </si>
  <si>
    <t>Multipette® nr. 16</t>
  </si>
  <si>
    <t>002026</t>
  </si>
  <si>
    <t>Multipette E3</t>
  </si>
  <si>
    <t>M45826G</t>
  </si>
  <si>
    <t>Jul-24</t>
  </si>
  <si>
    <t>Multipette® nr. 17</t>
  </si>
  <si>
    <t>002077</t>
  </si>
  <si>
    <t>M37056H</t>
  </si>
  <si>
    <t>Multipette® nr. 18</t>
  </si>
  <si>
    <t>002112</t>
  </si>
  <si>
    <t>Eppendorf Multipette ® E3x</t>
  </si>
  <si>
    <t>L50185H</t>
  </si>
  <si>
    <t>Multipette® nr. 19</t>
  </si>
  <si>
    <t>002114</t>
  </si>
  <si>
    <t>L50216H</t>
  </si>
  <si>
    <t>Multipette® nr. 20</t>
  </si>
  <si>
    <t>002538</t>
  </si>
  <si>
    <t>Q21180I</t>
  </si>
  <si>
    <t>Multipette® nr. 21</t>
  </si>
  <si>
    <t>002539</t>
  </si>
  <si>
    <t>Q21012I</t>
  </si>
  <si>
    <t>Multipette® nr. 22</t>
  </si>
  <si>
    <t>003064</t>
  </si>
  <si>
    <t>Eppendorf Multipette E3</t>
  </si>
  <si>
    <t>G16044L</t>
  </si>
  <si>
    <t>Multipette® nr. 34</t>
  </si>
  <si>
    <t>003077</t>
  </si>
  <si>
    <t>J17233L</t>
  </si>
  <si>
    <t>Multipette® nr. 37</t>
  </si>
  <si>
    <t>002391</t>
  </si>
  <si>
    <t>G30024H</t>
  </si>
  <si>
    <t>Sep-25</t>
  </si>
  <si>
    <t>Multipette® nr. 31</t>
  </si>
  <si>
    <t>003056</t>
  </si>
  <si>
    <t>K46056K</t>
  </si>
  <si>
    <t>Multipette® nr. 32</t>
  </si>
  <si>
    <t>003057</t>
  </si>
  <si>
    <t>K46102K</t>
  </si>
  <si>
    <t>Multipette® nr. 33</t>
  </si>
  <si>
    <t>003065</t>
  </si>
  <si>
    <t>G16092L</t>
  </si>
  <si>
    <t>Multipette® nr. 35</t>
  </si>
  <si>
    <t>003078</t>
  </si>
  <si>
    <t>J17307L</t>
  </si>
  <si>
    <t>Multipette® nr. 36</t>
  </si>
  <si>
    <t>003079</t>
  </si>
  <si>
    <t>J17321L</t>
  </si>
  <si>
    <t>Finnpipette F1 Nr.3 
20-200µl</t>
  </si>
  <si>
    <t>Finnpipette</t>
  </si>
  <si>
    <t>000466</t>
  </si>
  <si>
    <t>F1 20-200uL nr 3</t>
  </si>
  <si>
    <t>HJ04851</t>
  </si>
  <si>
    <t>Finnpipette F3 Nr 4
100-1000µl</t>
  </si>
  <si>
    <t>002393</t>
  </si>
  <si>
    <t>100-1000 ul Nr 4</t>
  </si>
  <si>
    <t>QH72852</t>
  </si>
  <si>
    <t>Finnpipette Nr 6 
20-200µl</t>
  </si>
  <si>
    <t>002666</t>
  </si>
  <si>
    <t>20-200 ul</t>
  </si>
  <si>
    <t>K45707I</t>
  </si>
  <si>
    <t>Finnpipette F3 Nr 7
100-1000µl</t>
  </si>
  <si>
    <t>003126</t>
  </si>
  <si>
    <t>Research plus 1-channel</t>
  </si>
  <si>
    <t>L19743I</t>
  </si>
  <si>
    <t xml:space="preserve">Negativt labb 5.409 </t>
  </si>
  <si>
    <t>Finnpipette F3 Nr 23
100-1000µl</t>
  </si>
  <si>
    <t>003007</t>
  </si>
  <si>
    <t>Finnpipette F3 100-1000 ul</t>
  </si>
  <si>
    <t>SH92611</t>
  </si>
  <si>
    <t>Finnpipette F3 Nr 24
100-1000µl</t>
  </si>
  <si>
    <t>003006</t>
  </si>
  <si>
    <t>SH92610</t>
  </si>
  <si>
    <t>Finnpipette Nr 25
20-200µl</t>
  </si>
  <si>
    <t>002109</t>
  </si>
  <si>
    <t>Eppendorf Research® Plus 1-channel</t>
  </si>
  <si>
    <t>Q42723G</t>
  </si>
  <si>
    <t>Finnpipette Nr 26 
2-20 µl</t>
  </si>
  <si>
    <t>002111</t>
  </si>
  <si>
    <t>Q45392G</t>
  </si>
  <si>
    <t xml:space="preserve">Övrigt </t>
  </si>
  <si>
    <t>Referensvikt 1 g 003229</t>
  </si>
  <si>
    <t>Vikt</t>
  </si>
  <si>
    <t>003229</t>
  </si>
  <si>
    <t>158397 - 1g OIML Class: E2</t>
  </si>
  <si>
    <t>C123934096</t>
  </si>
  <si>
    <t>Referensvikt 100 g (E2)003246</t>
  </si>
  <si>
    <t>003246</t>
  </si>
  <si>
    <t>ZG6L (E2)</t>
  </si>
  <si>
    <t>S2301067</t>
  </si>
  <si>
    <t>Referensvikt 100g 000519</t>
  </si>
  <si>
    <t>000519</t>
  </si>
  <si>
    <t>Referensvikt 1g 002937</t>
  </si>
  <si>
    <t>002937</t>
  </si>
  <si>
    <t>Item number 158397</t>
  </si>
  <si>
    <t>C123934097</t>
  </si>
  <si>
    <t>LAF 1</t>
  </si>
  <si>
    <t>LAF-bänk</t>
  </si>
  <si>
    <t>003055</t>
  </si>
  <si>
    <t>ScanLaf Mars 1200 Labogen Class 2 cabinet</t>
  </si>
  <si>
    <t>LAF 2</t>
  </si>
  <si>
    <t>003059</t>
  </si>
  <si>
    <t>LAF 3</t>
  </si>
  <si>
    <t>003060</t>
  </si>
  <si>
    <t>000412</t>
  </si>
  <si>
    <t>Mars 1200</t>
  </si>
  <si>
    <t>L.04110289</t>
  </si>
  <si>
    <t>LAF 5</t>
  </si>
  <si>
    <t>001747</t>
  </si>
  <si>
    <t>Mars Premium 1200</t>
  </si>
  <si>
    <t>L.11150043</t>
  </si>
  <si>
    <t>LAF 4</t>
  </si>
  <si>
    <t>002441</t>
  </si>
  <si>
    <t>Cabinet Biosafety Biovanguard</t>
  </si>
  <si>
    <t>G19118701-01</t>
  </si>
  <si>
    <t>002897</t>
  </si>
  <si>
    <t>Esco</t>
  </si>
  <si>
    <t>2015-99627</t>
  </si>
  <si>
    <t>FQC LAF</t>
  </si>
  <si>
    <t>002898</t>
  </si>
  <si>
    <t>ESCO</t>
  </si>
  <si>
    <t>2015-99629</t>
  </si>
  <si>
    <t>003407</t>
  </si>
  <si>
    <t>VBA Venting Fixture</t>
  </si>
  <si>
    <t>700-8285</t>
  </si>
  <si>
    <t>003406</t>
  </si>
  <si>
    <t>003303</t>
  </si>
  <si>
    <t>Diskmaskin</t>
  </si>
  <si>
    <t>GW0160</t>
  </si>
  <si>
    <t>003045</t>
  </si>
  <si>
    <t xml:space="preserve">Infinity-II </t>
  </si>
  <si>
    <t>In-Process</t>
  </si>
  <si>
    <t>UM0020 Cepheid AB</t>
  </si>
  <si>
    <t>FI labb 5.544</t>
  </si>
  <si>
    <t>Mar-23</t>
  </si>
  <si>
    <t>Infinity-VII</t>
  </si>
  <si>
    <t>Aug-23</t>
  </si>
  <si>
    <t>Ugn+pump - används ej</t>
  </si>
  <si>
    <t>000405</t>
  </si>
  <si>
    <t>VD53</t>
  </si>
  <si>
    <t>11-04137</t>
  </si>
  <si>
    <t>Korridor</t>
  </si>
  <si>
    <t>000408</t>
  </si>
  <si>
    <t>000407</t>
  </si>
  <si>
    <t>Pump</t>
  </si>
  <si>
    <t>000409</t>
  </si>
  <si>
    <t>002289</t>
  </si>
  <si>
    <t>002333</t>
  </si>
  <si>
    <t>Timer Nr. 22</t>
  </si>
  <si>
    <t>003757</t>
  </si>
  <si>
    <t>D2421661</t>
  </si>
  <si>
    <t>Timer Nr. 23</t>
  </si>
  <si>
    <t>003758</t>
  </si>
  <si>
    <t>E2423934</t>
  </si>
  <si>
    <t>Information2 – QC Rule Summary</t>
  </si>
  <si>
    <t>Generated</t>
  </si>
  <si>
    <t>Version: v45.1.0</t>
  </si>
  <si>
    <t>Assay (canonical)</t>
  </si>
  <si>
    <t>Xpert MTB-RIF Ultra</t>
  </si>
  <si>
    <t>Assay Version</t>
  </si>
  <si>
    <t>4</t>
  </si>
  <si>
    <t>Lot</t>
  </si>
  <si>
    <t>92303, 92302</t>
  </si>
  <si>
    <t>WorkCenter</t>
  </si>
  <si>
    <t/>
  </si>
  <si>
    <t>Match source</t>
  </si>
  <si>
    <t>Profiles</t>
  </si>
  <si>
    <t>Row count</t>
  </si>
  <si>
    <t>Unique SampleID</t>
  </si>
  <si>
    <t>Unique CartridgeSN</t>
  </si>
  <si>
    <t>KPI / Summary</t>
  </si>
  <si>
    <t>Findings: ERROR / WARN / INFO</t>
  </si>
  <si>
    <t>1 / 2 / 1</t>
  </si>
  <si>
    <t>Error rows (affected tests)</t>
  </si>
  <si>
    <t>Distinct error codes</t>
  </si>
  <si>
    <t>Baseline (expected/actual/delta)</t>
  </si>
  <si>
    <t>Max Pressure (max)</t>
  </si>
  <si>
    <t>Max Pressure &gt;= Warn / Fail</t>
  </si>
  <si>
    <t>Status counts (Done/Error/Invalid/Aborted/Incomplete)</t>
  </si>
  <si>
    <t>208/0/0/1/0</t>
  </si>
  <si>
    <t>Findings</t>
  </si>
  <si>
    <t>Severity</t>
  </si>
  <si>
    <t>RuleId</t>
  </si>
  <si>
    <t>Title</t>
  </si>
  <si>
    <t>Message</t>
  </si>
  <si>
    <t>Count</t>
  </si>
  <si>
    <t>Example</t>
  </si>
  <si>
    <t>Evidence</t>
  </si>
  <si>
    <t>Error</t>
  </si>
  <si>
    <t>IDENTITY_REAGENT_LOT_ID</t>
  </si>
  <si>
    <t>ReagentLotId mismatch (expected '92303')</t>
  </si>
  <si>
    <t>C15NOV23D_07_1_16+</t>
  </si>
  <si>
    <t>Warn</t>
  </si>
  <si>
    <t>DUPLICATE_SAMPLEID</t>
  </si>
  <si>
    <t>Duplicate SampleId detected</t>
  </si>
  <si>
    <t>Count=1</t>
  </si>
  <si>
    <t>DUPLICATE_CARTRIDGESN</t>
  </si>
  <si>
    <t>Duplicate CartridgeSN detected</t>
  </si>
  <si>
    <t>Count=2</t>
  </si>
  <si>
    <t>Info</t>
  </si>
  <si>
    <t>COLUMN_MISSING_WORKCENTER</t>
  </si>
  <si>
    <t>Column missing: WorkCenter</t>
  </si>
  <si>
    <t>Error Summary</t>
  </si>
  <si>
    <t>Code</t>
  </si>
  <si>
    <t>Name</t>
  </si>
  <si>
    <t>Classification</t>
  </si>
  <si>
    <t>Example SampleID</t>
  </si>
  <si>
    <t>2037</t>
  </si>
  <si>
    <t>FUNCTIONAL</t>
  </si>
  <si>
    <t>NEG_00_0_04X</t>
  </si>
  <si>
    <t>5015</t>
  </si>
  <si>
    <t>NEG_08_0_07+</t>
  </si>
  <si>
    <t>Affected Tests (Warn/Error)</t>
  </si>
  <si>
    <t>Sample ID</t>
  </si>
  <si>
    <t>Cartridge S/N</t>
  </si>
  <si>
    <t>Module S/N</t>
  </si>
  <si>
    <t>Test Type</t>
  </si>
  <si>
    <t>Status</t>
  </si>
  <si>
    <t>Test Result</t>
  </si>
  <si>
    <t>Max Pressure (PSI)</t>
  </si>
  <si>
    <t>ErrorCode</t>
  </si>
  <si>
    <t>Row#</t>
  </si>
  <si>
    <t>614350191</t>
  </si>
  <si>
    <t>Positive Control 1</t>
  </si>
  <si>
    <t>Done</t>
  </si>
  <si>
    <t>MTB DETECTED LOW;RIF Resistance DETECTED</t>
  </si>
  <si>
    <t>NEG_10_0_10+</t>
  </si>
  <si>
    <t>614390273</t>
  </si>
  <si>
    <t>Negative Control 1</t>
  </si>
  <si>
    <t>MTB NOT DETECTED</t>
  </si>
  <si>
    <t>Utrustningsfilen</t>
  </si>
  <si>
    <t>INSTRUMENT</t>
  </si>
  <si>
    <t>GX5</t>
  </si>
  <si>
    <t>GX6</t>
  </si>
  <si>
    <t>GX1</t>
  </si>
  <si>
    <t>GX2</t>
  </si>
  <si>
    <t>GX3</t>
  </si>
  <si>
    <t>GX7</t>
  </si>
  <si>
    <t>Calibration Due Date</t>
  </si>
  <si>
    <t>Jun-26</t>
  </si>
  <si>
    <t>Apr-26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</si>
  <si>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</si>
  <si>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</si>
  <si>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</si>
  <si>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</si>
  <si>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</si>
  <si>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</si>
  <si>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</si>
  <si>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</si>
  <si>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</si>
  <si>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</si>
  <si>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</si>
  <si>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</si>
  <si>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</si>
  <si>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</si>
  <si>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</si>
  <si>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</si>
  <si>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</si>
  <si>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</si>
  <si>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</si>
  <si>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</si>
  <si>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</si>
  <si>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</si>
  <si>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Nr. 37</t>
  </si>
  <si>
    <t>Uppdaterad: 2025 12 08 / JESP</t>
  </si>
  <si>
    <t>PIPETTER hämtade från 2099 09 09 GXMTB RIF ULTRA 92303 Worksheet D25862.xlsx</t>
  </si>
  <si>
    <t>Cepheid ID</t>
  </si>
  <si>
    <t>INSTRUMENT hämtade från 2099 09 09 GXMTB RIF ULTRA 92303 Worksheet D25862.xlsx</t>
  </si>
  <si>
    <t>MTB ULTRA</t>
  </si>
  <si>
    <t>P/N</t>
  </si>
  <si>
    <t>Artikel</t>
  </si>
  <si>
    <t>Lotnr.</t>
  </si>
  <si>
    <t>Utgångsdatum</t>
  </si>
  <si>
    <t>Förvaringsplats</t>
  </si>
  <si>
    <t>Antal i lager</t>
  </si>
  <si>
    <t>Senast inventering</t>
  </si>
  <si>
    <t>SIGN</t>
  </si>
  <si>
    <t>001-1923</t>
  </si>
  <si>
    <t>INTROL TB1081MDR2</t>
  </si>
  <si>
    <t>B27FEB25A</t>
  </si>
  <si>
    <t>IPT kylskåp</t>
  </si>
  <si>
    <t>5 Lådor</t>
  </si>
  <si>
    <t>JESP</t>
  </si>
  <si>
    <t>001-1968</t>
  </si>
  <si>
    <t>INTROL TBWT-04 MTB Ultra</t>
  </si>
  <si>
    <t>B01NOV24B</t>
  </si>
  <si>
    <t>5.5 lådor</t>
  </si>
  <si>
    <t>ELS</t>
  </si>
  <si>
    <t>MTB - TET | 500-0995</t>
  </si>
  <si>
    <t>P/N 500-0995 MTB TET Buffer (exp 6 mån)
500-0995, BUFFER, TET, 50_0.1_0.1</t>
  </si>
  <si>
    <t>Lotnummer</t>
  </si>
  <si>
    <t>Volym, L</t>
  </si>
  <si>
    <t>25L</t>
  </si>
  <si>
    <t>10L</t>
  </si>
  <si>
    <t>vdao</t>
  </si>
  <si>
    <t>MTB - SR | 500-2608</t>
  </si>
  <si>
    <t>P/N 500-2608 MTB SR (exp 4 mån)
500-2608, IPT BULK REAGENT, SAMPLE TREATMENT, MTB</t>
  </si>
  <si>
    <t>50L</t>
  </si>
  <si>
    <t>SharePoint Information</t>
  </si>
  <si>
    <t>Work Center</t>
  </si>
  <si>
    <t>ROBAL 06</t>
  </si>
  <si>
    <t>Order#</t>
  </si>
  <si>
    <t>SAP Batch#</t>
  </si>
  <si>
    <t>Material</t>
  </si>
  <si>
    <t>GXMTB/RIF-ULTRA-50</t>
  </si>
  <si>
    <t>BBD/SLED</t>
  </si>
  <si>
    <t>2027-04-11</t>
  </si>
  <si>
    <t>ROBAL - Actual start date/time</t>
  </si>
  <si>
    <t>2025-10-25 22:40</t>
  </si>
  <si>
    <t>Sample Reagent use</t>
  </si>
  <si>
    <t>1001501891, 1001502674</t>
  </si>
  <si>
    <t>Sample Reagent P/N</t>
  </si>
  <si>
    <t>700-8870</t>
  </si>
  <si>
    <t>Order quantity</t>
  </si>
  <si>
    <t>ROBAL - Till Packning</t>
  </si>
  <si>
    <t>IPT - Testing Finalized</t>
  </si>
  <si>
    <t>2025-10-26 23:00</t>
  </si>
  <si>
    <t>MES Order</t>
  </si>
  <si>
    <t>JA</t>
  </si>
  <si>
    <t>Instrument S/N</t>
  </si>
  <si>
    <t>Start Time</t>
  </si>
  <si>
    <t>Aborted</t>
  </si>
  <si>
    <t>NO RESULT</t>
  </si>
  <si>
    <t>INVALID</t>
  </si>
  <si>
    <t>23.2</t>
  </si>
  <si>
    <t>STF</t>
  </si>
  <si>
    <t>Instrument fel</t>
  </si>
  <si>
    <t>Invalid</t>
  </si>
  <si>
    <t xml:space="preserve">Misquantitation </t>
  </si>
  <si>
    <t>RIF Resistance Indeterminate</t>
  </si>
  <si>
    <t>SPC Ct=0</t>
  </si>
  <si>
    <t>Max Pressure</t>
  </si>
  <si>
    <t xml:space="preserve">Cartridge Integrity Failure </t>
  </si>
  <si>
    <t>Probe Check High</t>
  </si>
  <si>
    <t>Probe Check Low</t>
  </si>
  <si>
    <t>Signal Loss Detection</t>
  </si>
  <si>
    <t>Sample Adequacy</t>
  </si>
  <si>
    <t>Curve Fit Error</t>
  </si>
  <si>
    <t>Delamination</t>
  </si>
  <si>
    <t>Any Error</t>
  </si>
  <si>
    <t>Description</t>
  </si>
  <si>
    <t>Assay Specific Termination Errors</t>
  </si>
  <si>
    <t>Max P &gt; 90 PSI</t>
  </si>
  <si>
    <t>False Result (False Negative or False Positive)</t>
  </si>
  <si>
    <t>Error 2037: The cartridge integrity test failed at valve position 1390. The pressure change of -0.6 PSI did not exceed the requirement of 4.0 PSI. The pressure increased from 3.5 PSI to 3.0 PSI during the test</t>
  </si>
  <si>
    <t>082622VW_04_0_05X</t>
  </si>
  <si>
    <t>Specimen</t>
  </si>
  <si>
    <t>Error 5007: [CT1] probe check failed. Probe check value of 17 for reading number 2 was below the minimum of 110|Error 5007: [SPC] probe check failed. Probe check value of 19 for reading number 2 was below the minimum of 119</t>
  </si>
  <si>
    <t>082622VW_05_0_04X</t>
  </si>
  <si>
    <t>ERROR</t>
  </si>
  <si>
    <t>Error 2005: Motion of the syringe drive was not detected. Detected motion started at position 250 uL and transferred 211 uL at valve position 245 with pressure 2.7 PSI</t>
  </si>
  <si>
    <t>Ersättningar</t>
  </si>
  <si>
    <t>020625VW_09_1_14A+</t>
  </si>
  <si>
    <t>2025-08-04T00:56:44+0200</t>
  </si>
  <si>
    <t>Toxigenic C.diff POSITIVE;027 PRESUMPTIVE POS</t>
  </si>
  <si>
    <t>Error 5006: [QC-2] probe check failed. Probe check value of 247 for reading number 1 was above the maximum of 223|Error 5006: [QC-2] probe check failed. Probe check value of 247 for reading number 3 was above the maximum of 223</t>
  </si>
  <si>
    <t>022025VW_00_0_08+</t>
  </si>
  <si>
    <t>2025-10-08T04:24:46+0200</t>
  </si>
  <si>
    <t>Error 2008: Syringe pressure reading of 100.1 PSI exceeds the protocol limit of 100.0 PSI</t>
  </si>
  <si>
    <t>022025VW_08_0_07+</t>
  </si>
  <si>
    <t>2025-10-08T06:24:19+0200</t>
  </si>
  <si>
    <t>011922DL_07_0_07+</t>
  </si>
  <si>
    <t>2025-11-22T01:57:44+0100</t>
  </si>
  <si>
    <t>Error 5017: [SPC] probe check failed. Probe check value of 0 for reading number 2 was below the valid level of 5|Error 5017: [SAC] probe check failed. Probe check value of 0 for reading number 2 was below the valid level of 5|Error 5007: [GBS] probe check failed. Probe check value of 5 for reading number 2 was below the minimum of 70</t>
  </si>
  <si>
    <t>NEG_07_0_08+</t>
  </si>
  <si>
    <t>2025-08-03T01:52:16+0200</t>
  </si>
  <si>
    <t>Error 5011: Signal loss detected in the amplification curve for analyte [mec]. 44.6 decrease in signal with 22.2% decrease at cycle 23.</t>
  </si>
  <si>
    <t>051625MMM_02_1_11X</t>
  </si>
  <si>
    <t>2025-11-18T08:43:26+0100</t>
  </si>
  <si>
    <t>Error 2096: Assay-Specific Termination Error #1: 20, 30, 0, 0</t>
  </si>
  <si>
    <t>050525Masa_06_1_14X</t>
  </si>
  <si>
    <t>2025-11-23T21:13:42+0100</t>
  </si>
  <si>
    <t>Error 5015: Failed to verify valid background slope for analyte [IQS-H]. The absolute value of the slope of 2.2 was above the maximum of 2.0</t>
  </si>
  <si>
    <t>042325MMM_04_0_05X</t>
  </si>
  <si>
    <t>2025-12-12T20:42:58+0100</t>
  </si>
  <si>
    <t>Error 1002: The temperature difference of 5.3 ºC exceeds the limit of 5.0 ºC. The temperatures for heaters A and B are 97.3 ºC and 92.0 ºC</t>
  </si>
  <si>
    <t>NEG_05_0_02AX</t>
  </si>
  <si>
    <t>2025-09-18T17:28:24+0200</t>
  </si>
  <si>
    <t>Error 2097: Assay-Specific Termination Error #2: 46, 7, 1, 0</t>
  </si>
  <si>
    <t>061325ELIF_01_1_12X</t>
  </si>
  <si>
    <t>2025-11-20T13:55:54+0100</t>
  </si>
  <si>
    <t>Error 1001: The actual temperature 61.6 ºC has drifted too far away from the setpoint of 61.0 ºC|Error 1001: The actual temperature 60.5 ºC has drifted too far away from the setpoint of 61.0 ºC|Error 1001: The actual temperature 60.4 ºC has drifted too far away from the setpoint of 61.0 ºC|Error 1001: The actual temperature 61.7 ºC has drifted too far away from the setpoint of 61.0 ºC</t>
  </si>
  <si>
    <t>2025-11-20T16:59:56+0100</t>
  </si>
  <si>
    <t>061325ELIF_03_1_11AX</t>
  </si>
  <si>
    <t>Error 2125: Termination Error - Insufficient Volume: 30, 50, 0, 41</t>
  </si>
  <si>
    <t>040925TN_10_1_12X</t>
  </si>
  <si>
    <t>2025-12-11T20:38:46+0100</t>
  </si>
  <si>
    <t>Probe Check</t>
  </si>
  <si>
    <t>Group</t>
  </si>
  <si>
    <t>GeneratesRetest</t>
  </si>
  <si>
    <t>CurveFit</t>
  </si>
  <si>
    <t>FUNCTIONAL_MINOR_CURVEFIT</t>
  </si>
  <si>
    <t>Curve fit error – true functional failure, no re-test</t>
  </si>
  <si>
    <t>No</t>
  </si>
  <si>
    <t>ProbeCheckLow</t>
  </si>
  <si>
    <t>FUNCTIONAL_MINOR_PROBECHECK_LOW</t>
  </si>
  <si>
    <t>Probe Check Low – true functional failure, no re-test</t>
  </si>
  <si>
    <t>ProbeCheckHigh</t>
  </si>
  <si>
    <t>FUNCTIONAL_MINOR_PROBECHECK_HIGH</t>
  </si>
  <si>
    <t>Probe Check High – true functional failure, no re-test</t>
  </si>
  <si>
    <t>CIT</t>
  </si>
  <si>
    <t>CIT/SLD</t>
  </si>
  <si>
    <t>FUNCTIONAL_MINOR_CIT_SLD</t>
  </si>
  <si>
    <t>CIT – true functional failure, no re-test</t>
  </si>
  <si>
    <t>SLD</t>
  </si>
  <si>
    <t>SLD – true functional failure, no re-test</t>
  </si>
  <si>
    <t>Pressure Abort</t>
  </si>
  <si>
    <t>Pressure</t>
  </si>
  <si>
    <t>FUNCTIONAL_MINOR_PRESSURE</t>
  </si>
  <si>
    <t>Pressure abort; protocol limit exceeded (also if Max Pressure &gt; 90 PSI)</t>
  </si>
  <si>
    <t>Sample Volume Adequacy</t>
  </si>
  <si>
    <t>SVA</t>
  </si>
  <si>
    <t>FUNCTIONAL_MINOR_SVA</t>
  </si>
  <si>
    <t>Sample Volume Adequacy failure – true functional failure, no re-test</t>
  </si>
  <si>
    <t>Max Pressure &gt; 90 PSI</t>
  </si>
  <si>
    <t>Max Pressure (PSI) strictly &gt; 90 – functional failure, no re-test</t>
  </si>
  <si>
    <t>Invalid w/o error (non-HPV, SPC Ct=0)</t>
  </si>
  <si>
    <t>InvalidNoCode</t>
  </si>
  <si>
    <t>FUNCTIONAL_MINOR_INVALID</t>
  </si>
  <si>
    <t>Invalid result without error code, SPC Ct=0, non-HPV assay – true functional failure, no re-test</t>
  </si>
  <si>
    <t>Other error codes</t>
  </si>
  <si>
    <t>Other</t>
  </si>
  <si>
    <t>INSTRUMENT_ERROR</t>
  </si>
  <si>
    <t>All other error codes – classified as instrument error, cartridge re-test/replacement required</t>
  </si>
  <si>
    <t>Yes</t>
  </si>
  <si>
    <t>Delamination + error code</t>
  </si>
  <si>
    <t>FUNCTIONAL_MINOR_DELAM</t>
  </si>
  <si>
    <t>Any error code combined with delamination suffix (D01, D2A, ... D11) – true functional failure, no re-test</t>
  </si>
  <si>
    <t>Tab</t>
  </si>
  <si>
    <t>TestTypePattern</t>
  </si>
  <si>
    <t>Idx</t>
  </si>
  <si>
    <t>ExpectedResultRegex</t>
  </si>
  <si>
    <t>Comment</t>
  </si>
  <si>
    <t>HIV VL</t>
  </si>
  <si>
    <t>^Negative Control 1$</t>
  </si>
  <si>
    <t>^HIV-1 NOT DETECTED$</t>
  </si>
  <si>
    <t>HIV VL NC1 – odetekterbar, allt annat (utan tekniskt error) = FN</t>
  </si>
  <si>
    <t>^Positive Control 1$</t>
  </si>
  <si>
    <t>^HIV-1 DETECTED \d+ copies/mL \(log 2\.\d+\)$</t>
  </si>
  <si>
    <t>HIV VL PC1 – låg nivå runt 10^2 kopior (log 2.x)</t>
  </si>
  <si>
    <t>^Positive Control 2$</t>
  </si>
  <si>
    <t>^HIV-1 DETECTED [0-9.]+E0?5 copies/mL \(log 5\.\d+\)$</t>
  </si>
  <si>
    <t>HIV VL PC2 – hög nivå runt 10^5 kopior (log 5.x)</t>
  </si>
  <si>
    <t>HIV VL XC</t>
  </si>
  <si>
    <t>HIV VL XC NC1 – odetekterbar</t>
  </si>
  <si>
    <t>HIV VL XC PC1 – låg viremi (log 2.x)</t>
  </si>
  <si>
    <t>HIV VL XC PC2 – hög viremi (log 5.x)</t>
  </si>
  <si>
    <t>HPV</t>
  </si>
  <si>
    <t>^INVALID$</t>
  </si>
  <si>
    <t>HPV NC1 – designat INVALID (v1 &amp; v2)</t>
  </si>
  <si>
    <t>^Positive Control [12]$</t>
  </si>
  <si>
    <t>^(?:HR HPV POS|HPV 16 POS;HPV 18_45 POS;OTHER HR HPV POS)$</t>
  </si>
  <si>
    <t>HPV PC1/PC2 – positiva kontroller (idx1)</t>
  </si>
  <si>
    <t>HPV PC1/PC2 – positiva kontroller (idx2)</t>
  </si>
  <si>
    <t>MRSA NxG</t>
  </si>
  <si>
    <t>^MRSA NOT DETECTED$</t>
  </si>
  <si>
    <t>MRSA NxG NC1 – alltid negativ</t>
  </si>
  <si>
    <t>^MRSA DETECTED$</t>
  </si>
  <si>
    <t>MRSA NxG PC1/PC2 – positiva kontroller (idx1/2)</t>
  </si>
  <si>
    <t>MRSA SA</t>
  </si>
  <si>
    <t>^Specimen$</t>
  </si>
  <si>
    <t>^MRSA NEGATIVE;SA NEGATIVE$</t>
  </si>
  <si>
    <t>SA Nasal Specimen idx0 – dubbelnegativ panel</t>
  </si>
  <si>
    <t>^MRSA POSITIVE;SA POSITIVE$</t>
  </si>
  <si>
    <t>SA Nasal Specimen idx1 – dubbelpositiv panel</t>
  </si>
  <si>
    <t>CARBA R</t>
  </si>
  <si>
    <t>^IMP NOT DETECTED;VIM NOT DETECTED;NDM NOT DETECTED;KPC NOT DETECTED;OXA48 NOT DETECTED$</t>
  </si>
  <si>
    <t>Carba-R NC1 – alla fem gener NOT DETECTED</t>
  </si>
  <si>
    <t>^IMP DETECTED;VIM DETECTED;NDM DETECTED;KPC DETECTED;OXA48 DETECTED$</t>
  </si>
  <si>
    <t>Carba-R PC1 – full house positiv</t>
  </si>
  <si>
    <t>Carba-R PC2 – full house positiv</t>
  </si>
  <si>
    <t>FLUVID | FLUVID+</t>
  </si>
  <si>
    <t>^SARS-CoV-2 NEGATIVE;Flu A NEGATIVE;Flu B NEGATIVE;RSV NEGATIVE$</t>
  </si>
  <si>
    <t>XP3/FLUVID NC1 – alla fyra targets NEGATIVE</t>
  </si>
  <si>
    <t>^SARS-CoV-2 POSITIVE;Flu A POSITIVE;Flu B POSITIVE;RSV POSITIVE$</t>
  </si>
  <si>
    <t>XP3/FLUVID PC1 – alla fyra targets POSITIVE</t>
  </si>
  <si>
    <t>CTNG | CTNG JP</t>
  </si>
  <si>
    <t>^(?:CT NOT DETECTED;NG NOT DETECTED|CT NOT DETECTED)$</t>
  </si>
  <si>
    <t>CT/NG Specimen idx0 – dubbelnegativ panel</t>
  </si>
  <si>
    <t>^(?:CT DETECTED;NG DETECTED|CT DETECTED)$</t>
  </si>
  <si>
    <t>CT/NG Specimen idx1 – dubbelpositiv panel</t>
  </si>
  <si>
    <t>^MTB NOT DETECTED$</t>
  </si>
  <si>
    <t>MTB Ultra NC1 – ingen MTB (Trace = FP-kandidat)</t>
  </si>
  <si>
    <t>^MTB DETECTED (?:LOW|VERY LOW|MEDIUM|HIGH);RIF Resistance (?:DETECTED|INDETERMINATE)$</t>
  </si>
  <si>
    <t>MTB Ultra PC1 – MTB DETECTED, RIF DETECTED/INDETERMINATE</t>
  </si>
  <si>
    <t>^MTB DETECTED (?:LOW|VERY LOW|MEDIUM|HIGH);RIF Resistance NOT DETECTED$</t>
  </si>
  <si>
    <t>MTB Ultra PC2 – MTB DETECTED, RIF NOT DETECTED</t>
  </si>
  <si>
    <t>HIV QA</t>
  </si>
  <si>
    <t>HIV Qual Specimen idx0 – negativ panel</t>
  </si>
  <si>
    <t>^HIV-1 DETECTED$</t>
  </si>
  <si>
    <t>HIV Qual Specimen idx1 – positiv panel</t>
  </si>
  <si>
    <t>C.DIFF | C.DIFF JP</t>
  </si>
  <si>
    <t>^Toxigenic C\.diff NEGATIVE;027 PRESUMPTIVE NEG$</t>
  </si>
  <si>
    <t>C.diff Specimen idx0 – NEG; panel-negativ</t>
  </si>
  <si>
    <t>^Toxigenic C\.diff POSITIVE;027 PRESUMPTIVE POS$</t>
  </si>
  <si>
    <t>C.diff PC2/PC3 – POS; panel-positiv</t>
  </si>
  <si>
    <t>C.diff PC1 – majoritet POS; enstaka NEG ses som FN/edge-cases</t>
  </si>
  <si>
    <t>C.DIFF</t>
  </si>
  <si>
    <t>^Toxigenic C\.?diff NEGATIVE;027 PRESUMPTIVE NEG$</t>
  </si>
  <si>
    <t>C.diff Specimen – negativ panel</t>
  </si>
  <si>
    <t>^Toxigenic C\.?diff POSITIVE;027 PRESUMPTIVE POS$</t>
  </si>
  <si>
    <t>C.diff PC1 – majoritet POS</t>
  </si>
  <si>
    <t>^Positive Control [23]$</t>
  </si>
  <si>
    <t>C.diff PC2/PC3 – POS</t>
  </si>
  <si>
    <t>C.DIFF CN</t>
  </si>
  <si>
    <t>C.DIFF JP</t>
  </si>
  <si>
    <t>CARBA-R</t>
  </si>
  <si>
    <t>Öppet för mig att fylla i</t>
  </si>
  <si>
    <t>CTNG</t>
  </si>
  <si>
    <t>CT/NG Specimen – dubbelnegativ panel</t>
  </si>
  <si>
    <t>CT/NG Specimen – dubbelpositiv panel</t>
  </si>
  <si>
    <t>EBOLA</t>
  </si>
  <si>
    <t>FLU NxG</t>
  </si>
  <si>
    <t>FLUVID NC1 – alla targets negativa</t>
  </si>
  <si>
    <t>FLUVID PC1 – alla targets positiva</t>
  </si>
  <si>
    <t>FLU RSV</t>
  </si>
  <si>
    <t>FLUVID</t>
  </si>
  <si>
    <t>FLUVID+</t>
  </si>
  <si>
    <t>GBS</t>
  </si>
  <si>
    <t>HBV VL</t>
  </si>
  <si>
    <t>HCV VL</t>
  </si>
  <si>
    <t>HIV Qual Specimen – negativ</t>
  </si>
  <si>
    <t>HIV Qual Specimen – positiv</t>
  </si>
  <si>
    <t>HIV QA XC</t>
  </si>
  <si>
    <t>HIV VL NC1 – odetekterbar</t>
  </si>
  <si>
    <t>HIV VL PC1 – låg viremi</t>
  </si>
  <si>
    <t>HIV VL PC2 – hög viremi</t>
  </si>
  <si>
    <t>HPV NC1 – INVALID</t>
  </si>
  <si>
    <t>HPV PC1/PC2 – POS</t>
  </si>
  <si>
    <t>HVC VL FS</t>
  </si>
  <si>
    <t>MRSA NxG NC1 – negativ</t>
  </si>
  <si>
    <t>MRSA NxG PC1/PC2 – positiv</t>
  </si>
  <si>
    <t>MRSA SA Specimen – dubbelnegativ</t>
  </si>
  <si>
    <t>MRSA SA Specimen – dubbelpositiv</t>
  </si>
  <si>
    <t>MRSA SA CN</t>
  </si>
  <si>
    <t>MRSA SA JP</t>
  </si>
  <si>
    <t>MTB CN</t>
  </si>
  <si>
    <t>MTB JP</t>
  </si>
  <si>
    <t>MTB RIF</t>
  </si>
  <si>
    <t>MTB Ultra NC1 – ingen MTB</t>
  </si>
  <si>
    <t>MTB Ultra PC1 – MTB detekterad, RIF Det./Indet.</t>
  </si>
  <si>
    <t>MTB Ultra PC2 – MTB detekterad, RIF ND</t>
  </si>
  <si>
    <t>MTB XDR</t>
  </si>
  <si>
    <t>NORO</t>
  </si>
  <si>
    <t>SARS-COV-2</t>
  </si>
  <si>
    <t>SARS-COV-2 Plus</t>
  </si>
  <si>
    <t>SARS-COV-3</t>
  </si>
  <si>
    <t>SARS-COV-4</t>
  </si>
  <si>
    <t>STREP A</t>
  </si>
  <si>
    <t>VAN A/(B)</t>
  </si>
  <si>
    <t>Failure Code</t>
  </si>
  <si>
    <t>1001-Temp. Drifted from Setpoint</t>
  </si>
  <si>
    <t>1002-Heater Temp. Differential Error</t>
  </si>
  <si>
    <t>1004-Internal Temp. out of range</t>
  </si>
  <si>
    <t>1005-Optical Signal Too High</t>
  </si>
  <si>
    <t>1006-Detector Dark Signal Error</t>
  </si>
  <si>
    <t>1007-Power Supply Voltage Error</t>
  </si>
  <si>
    <t>1011-Optical Read Time Too Long</t>
  </si>
  <si>
    <t>1017-Optical Block Temperature out of range</t>
  </si>
  <si>
    <t>1018-Valve Position Error at End of Test (&gt;/=6 counts in 4.0)</t>
  </si>
  <si>
    <t>1032 - Module [site name] cannot start test due to internal temperature at f.f degree C above threshold of f.f.</t>
  </si>
  <si>
    <t>1035 - Module [site name]: Requires Cleaning (nn tests since Plunger Rod was last cleaned).
Note: This error message is applicable only for Xpertise 6.2 and above. The message is displayed if more than 1000 tests are created after the last clean.</t>
  </si>
  <si>
    <t>1091 - Cannot perform cartridge preparation because a run is already active</t>
  </si>
  <si>
    <t>1092 - Cannot perform cartridge preparation because cartridge preparation is already underway.</t>
  </si>
  <si>
    <t>1096 - Proceeded To Next Step #1: n, m, p, q
(n, m, p, q values are assay specific)</t>
  </si>
  <si>
    <t xml:space="preserve"> 1097 - Proceeded To Next Step #2: n, m, p, q
(n, m, p, q values are assay specific)</t>
  </si>
  <si>
    <t>1098 - Proceeded To Next Step #3: n, m, p, q
(n, m, p, q values are assay specific)</t>
  </si>
  <si>
    <t>1099 - Proceeded To Next Step #4: n, m, p, q
(n, m, p, q values are assay specific)</t>
  </si>
  <si>
    <t>1100 - Proceeded To Next Step #5: n, m, p, q
(n, m, p, q values are assay specific)</t>
  </si>
  <si>
    <t>1125 - Insufficient Volume Error</t>
  </si>
  <si>
    <t>1606 - Syringe error</t>
  </si>
  <si>
    <t xml:space="preserve">1650 - Unable to write to archive file </t>
  </si>
  <si>
    <t xml:space="preserve">2001-Command n was not recognized </t>
  </si>
  <si>
    <t xml:space="preserve">2002-Could not find calibration information for reporter #n </t>
  </si>
  <si>
    <t>2003-Module Already Running a Test</t>
  </si>
  <si>
    <t>2005-Motion of Syringe Drive not Detected</t>
  </si>
  <si>
    <t>2006-Valve Motion not detected</t>
  </si>
  <si>
    <t>2007 Unable to calculate Optical Signal</t>
  </si>
  <si>
    <t>2008 Over Pressure Abort</t>
  </si>
  <si>
    <t>2009-Under Pressure Abort (not typically seen or used in the field)</t>
  </si>
  <si>
    <t>2011-Unable to Initialize Pressure</t>
  </si>
  <si>
    <t>2012-Valve Inaccuracy Error</t>
  </si>
  <si>
    <t>2014-Thermistor Value out of Range</t>
  </si>
  <si>
    <t xml:space="preserve"> 2016-Unable to Find Valve Home</t>
  </si>
  <si>
    <t>2017-Door Latch Sensor Error</t>
  </si>
  <si>
    <t>2018-Door Closed at Cartridge Load</t>
  </si>
  <si>
    <t xml:space="preserve">2019 - During test playback, an unrecognized datagram was encountered </t>
  </si>
  <si>
    <t xml:space="preserve">2021 - Unable to process assay. An unknown primitive #n was encountered </t>
  </si>
  <si>
    <t>2022-Failure to get to Temp. Setpoint</t>
  </si>
  <si>
    <t xml:space="preserve">2023 GX firmware corruption. Unable to continue the test </t>
  </si>
  <si>
    <t>2024-Ultrasonic Horn Failure</t>
  </si>
  <si>
    <t>2025-Cartridge Load Error (2 modes)</t>
  </si>
  <si>
    <t>2026-Ultrasonic Overcurrent</t>
  </si>
  <si>
    <t>2029 - Cartridge Integrity Test Failure (4.0 and lower)</t>
  </si>
  <si>
    <t xml:space="preserve">2037- The Cartridge Integrity Test Failed (4.0b and higher) </t>
  </si>
  <si>
    <t>2030-Firmware has a Defect</t>
  </si>
  <si>
    <t>2031-Firmware has a Defect</t>
  </si>
  <si>
    <t>2032-Ultrasonic Tuning Error</t>
  </si>
  <si>
    <t>2034-Opt Det Unable to Reach Expected Value</t>
  </si>
  <si>
    <t>2035-Ultrasonic Failure Occurred</t>
  </si>
  <si>
    <t>2036 - Module door failed to latch</t>
  </si>
  <si>
    <t>2054 - Internal Communication Error. Contact technical support.</t>
  </si>
  <si>
    <t xml:space="preserve"> 2096 - Assay-Specific Termination Error #1: n, m, p, q
(n, m, p, q values are assay specific)</t>
  </si>
  <si>
    <t>2097 - Assay-Specific Termination Error #2: n, m, p, q
(n, m, p, q values are assay specific)</t>
  </si>
  <si>
    <t>2098 - Assay-Specific Termination Error #3: n, m, p, q
(n, m, p, q values are assay specific)</t>
  </si>
  <si>
    <t>2099 - Assay-Specific Termination Error #4: n, m, p, q
(n, m, p, q values are assay specific)</t>
  </si>
  <si>
    <t>2100 - Assay-Specific Termination Error #5: n, m, p, q
(n, m, p, q values are assay specific)</t>
  </si>
  <si>
    <t xml:space="preserve">2120 - Module X lost communication while module was idle
</t>
  </si>
  <si>
    <t>2121 - Module X lost communication before module door was latched</t>
  </si>
  <si>
    <t>2122 - Module X lost communication while starting test, test aborted</t>
  </si>
  <si>
    <t>2123 - Module X lost communication while test was running, attempting recovery
(these codes are used starting in Dx 4.6)</t>
  </si>
  <si>
    <t>2124 - Module X communication restored</t>
  </si>
  <si>
    <t>2125 - Termination Error - Insufficient Volume: n, m, p, q
(n, m, p, q values are assay specific)</t>
  </si>
  <si>
    <t>2126 - Module X was reset</t>
  </si>
  <si>
    <t>2127 - Module Communication Loss was detected
(this code is used before Dx 4.6)</t>
  </si>
  <si>
    <t>2651 - Protocol command is too large</t>
  </si>
  <si>
    <t>2652 - Protocol command contains a part with an invalid declared size</t>
  </si>
  <si>
    <t>2653 - Protocol command data was out of sync</t>
  </si>
  <si>
    <t>2654 - Protocol command data was not in sequential order</t>
  </si>
  <si>
    <t>2655 - Protocol command total size was not consistent with the size declared in the header</t>
  </si>
  <si>
    <t>2656 - Protocol command contains a section larger than was declared</t>
  </si>
  <si>
    <t>2657 - Protocol command checksum was not correct</t>
  </si>
  <si>
    <t>2658 - Protocol command header is invalid</t>
  </si>
  <si>
    <t>2659 - Unsupported protocol command version</t>
  </si>
  <si>
    <t>2660 - The declared size of the protocol command was not valid</t>
  </si>
  <si>
    <t>2661 - The declared number of sections in the protocol command was not valid</t>
  </si>
  <si>
    <t>2662 - Protocol command contains an invalid section type</t>
  </si>
  <si>
    <t>2663 - Protocol command has duplicated sections</t>
  </si>
  <si>
    <t>2664 - The provided protocol command sections were not contiguous</t>
  </si>
  <si>
    <t>2665 - The declared size of a section of the protocol command was not valid</t>
  </si>
  <si>
    <t>2666 - The declared size of the protocol command does not match the total size of all its section</t>
  </si>
  <si>
    <t>2667 - Protocol command parameters are not valid</t>
  </si>
  <si>
    <t>2720 - Failed to download biochip profile: {0}</t>
  </si>
  <si>
    <t>2721 - Biochip cartridge preparation: {0}"</t>
  </si>
  <si>
    <t>2722 - Failed to start biochip run: {0}</t>
  </si>
  <si>
    <t>2723 - Biochip run ended abnormally: {0}, {1}</t>
  </si>
  <si>
    <t>2724 - Invalid chip thermal calibration parameters were provided</t>
  </si>
  <si>
    <t>2725 - HPU configuration is invalid.</t>
  </si>
  <si>
    <t>2727 - Communication with the detector failed with bad message checksum</t>
  </si>
  <si>
    <t>2729 - Protocol command was not actively running when expected</t>
  </si>
  <si>
    <t>2731 - Failed to stop protocol command.</t>
  </si>
  <si>
    <t>2732 - Failed to stop protocol command due to firmware resource issue.</t>
  </si>
  <si>
    <t>2861 - Attempted to start protocol while a protocol was already active</t>
  </si>
  <si>
    <t>2862 - MPU configuration is invalid</t>
  </si>
  <si>
    <t>2863 - Unable to start protocol: sensors failed to initialize.</t>
  </si>
  <si>
    <t>2864 - MPU health check failed.</t>
  </si>
  <si>
    <t>2865 - HPU configuration is invalid.</t>
  </si>
  <si>
    <t>2866 - Unable to start protocol: cartridge chip was not ready</t>
  </si>
  <si>
    <t>2867 - HPU health check failed</t>
  </si>
  <si>
    <t>2868 - Unable to start protocol command: cannot coordinate with HPU</t>
  </si>
  <si>
    <t>2869 - Protocol command was not started because post cartridge preparation steps are being performed.</t>
  </si>
  <si>
    <t>2951 - Failed to synchronize protocol command instructions.</t>
  </si>
  <si>
    <t xml:space="preserve">2962 - Imaging command was out of sync with current state. </t>
  </si>
  <si>
    <t>2963 - No imaging configuration found for the specified index</t>
  </si>
  <si>
    <t>2964 - Failed to run setup configuration request</t>
  </si>
  <si>
    <t>2965 - Setup configuration request received an invalid response</t>
  </si>
  <si>
    <t>2966 - Failed to run imaging configuration request</t>
  </si>
  <si>
    <t>2967 - Imaging configuration request. received an invalid response</t>
  </si>
  <si>
    <t>2968 - IO failure detected with cartridge chip</t>
  </si>
  <si>
    <t>2972 - Frame interrupt request was late</t>
  </si>
  <si>
    <t>2973 - Interrupt request status indicates error</t>
  </si>
  <si>
    <t>2974 - Synchronization error in run setup configuration</t>
  </si>
  <si>
    <t>2975 - Synchronization error in run setup configuration type 2</t>
  </si>
  <si>
    <t>2981 - Run aborted due to thermal command scheduling error.</t>
  </si>
  <si>
    <t>2982 - Run aborted by command from SOM.</t>
  </si>
  <si>
    <t>2983 - Inter-task commands for control task are out of sync.</t>
  </si>
  <si>
    <t>2984 - Detected missing or invalid thermal configuration.</t>
  </si>
  <si>
    <t>2985 - Monitor detected PID has lost control.</t>
  </si>
  <si>
    <t>2986 - Alert detected and forced abort.</t>
  </si>
  <si>
    <t>2987 - Imaging failure detected.</t>
  </si>
  <si>
    <t>2988 - Temperature sensor failed.</t>
  </si>
  <si>
    <t>2989 - ERS gross violation for temperature</t>
  </si>
  <si>
    <t>2990 - ERS gross violation for cooling rate.</t>
  </si>
  <si>
    <t>2992 - Failed to detect cartridge chip after sample preparation; parameters: [{0}] [{1}] [{2}] [{3}].</t>
  </si>
  <si>
    <t>3000 - Communication buffer overflow error</t>
  </si>
  <si>
    <t>3200 - Module has insufficient memory</t>
  </si>
  <si>
    <t>4001-I-CORE Memory Error</t>
  </si>
  <si>
    <t>4002-GX Memory Error</t>
  </si>
  <si>
    <t>4003-Ultrasonic Drive Circuitry Failed</t>
  </si>
  <si>
    <t>4004-Valve Motion Not Detected Error</t>
  </si>
  <si>
    <t>4006-Syringe Stall Error</t>
  </si>
  <si>
    <t xml:space="preserve">4007- Module Syringe Power Rail Error </t>
  </si>
  <si>
    <t>4008-Power Supply Voltage Error</t>
  </si>
  <si>
    <t>4009-Heater A Self Test Error</t>
  </si>
  <si>
    <t>4010-Cooling Self Test Error</t>
  </si>
  <si>
    <t>4011-Detector Dark Signal Error</t>
  </si>
  <si>
    <t>4012-Heater B Self Test Error</t>
  </si>
  <si>
    <t>4013-Valve Move Inaccuracy Error</t>
  </si>
  <si>
    <t>4014-Optics Self Test Error</t>
  </si>
  <si>
    <t>4015-Optical Block Temperature Out of Range</t>
  </si>
  <si>
    <t>4016-Firmware Problems</t>
  </si>
  <si>
    <t>4017- Thermistor Error</t>
  </si>
  <si>
    <t>4018-FW Not Compatible with Valve Label</t>
  </si>
  <si>
    <t>4019 The Optical Ramp Test for LED n resulted in non-monotonic results at DAC setting of nnn</t>
  </si>
  <si>
    <t>4020 - Module Horn Power Rail Error</t>
  </si>
  <si>
    <t>4021 - Module servo motion was not detected during cartridge preparation</t>
  </si>
  <si>
    <t>4022 - Detector LED was not present during cartridge preparation.</t>
  </si>
  <si>
    <t>4023 - Cartridge preparation timeout error occurred.</t>
  </si>
  <si>
    <t>4024 - Unable to perform cartridge preparation due to firmware resource issue.</t>
  </si>
  <si>
    <t>4025 - Cartridge chip ID configuration error detected.</t>
  </si>
  <si>
    <t>4026 - Invalid cartridge chip trim detected</t>
  </si>
  <si>
    <t>4027 - Invalid cartridge chip setup detected</t>
  </si>
  <si>
    <t>4028 - Failed to power cartridge chip</t>
  </si>
  <si>
    <t>4029 - Failed to detect cartridge chip</t>
  </si>
  <si>
    <t>4030 - Cartridge chip heater encountered an error</t>
  </si>
  <si>
    <t>4031 - Failed to connect with cartridge chip</t>
  </si>
  <si>
    <t>4042 - Module servo motion was not detected during self test.</t>
  </si>
  <si>
    <t>4043 - Detector LED was not present during self test</t>
  </si>
  <si>
    <t>4045 - Module health check failed</t>
  </si>
  <si>
    <t>4142 Module&lt;module name&gt; firmware update failed</t>
  </si>
  <si>
    <t>4143 Module &lt;module name&gt; firmware version is out of range. Update software</t>
  </si>
  <si>
    <t>4144  Module &lt;module name&gt; firmware image is not found or firmware image cannot be verified</t>
  </si>
  <si>
    <t>4145 Module &lt;module name&gt; firmware version is not consistent. Update module firmware</t>
  </si>
  <si>
    <t>4146 Module &lt;module name&gt; module type is not supported</t>
  </si>
  <si>
    <t>C- 4808 An ultrasonic horn command failed to be executed. Code {0}</t>
  </si>
  <si>
    <t>C-4809 The ultrasonic horn failed to find resonance</t>
  </si>
  <si>
    <t>C-4810 An ultrasonic horn failure occurred with frequency out of range ({0} Hz).</t>
  </si>
  <si>
    <t>5001 - Unable to verify positive analyte [analyte name] using curve fitting. f.ff value of &lt;parameter name&gt;</t>
  </si>
  <si>
    <t>5002 - Failed to verify valid amplification curve for analyte [analyte name]. The shape factor of f.ff was below the minimum of f.ff</t>
  </si>
  <si>
    <t>5003 - Failed to verify valid amplification curve for analyte [analyte name]. The shape factor of f.f was above the maximum of f.f</t>
  </si>
  <si>
    <t>5004 - Failed to verify valid amplification curve for analyte [analyte name]. The normalized sum of errors of f.f was above the maximum of f.f</t>
  </si>
  <si>
    <t>5005 - Failed to verify valid amplification curve for analyte [analyte name]. The slope to vertical scaling ratio of f.ff was above the maximum of f.ff</t>
  </si>
  <si>
    <t xml:space="preserve">5006-Probe Check Too High Error </t>
  </si>
  <si>
    <t>5007-Probe Check Too Low Error</t>
  </si>
  <si>
    <t>5008-Probe Check Delta Too Low Error</t>
  </si>
  <si>
    <t>5009-Probe Check Delta Too High Error</t>
  </si>
  <si>
    <t>5010 - Unable to verify positive analyte [analyte name] using curve fitting. X readings were available, but the minimum number of readings required is Y</t>
  </si>
  <si>
    <t>5011 - Signal Loss detected in the amplification curve</t>
  </si>
  <si>
    <t>5012 - X probe check failed. The absolute probe check delta value n between reading number m and reading number p was above the maximum of q.</t>
  </si>
  <si>
    <t>5013 Quantitative value overflow</t>
  </si>
  <si>
    <t>5014 Quantitative value underflow</t>
  </si>
  <si>
    <t>5015: Failed to verify valid background slope for analyte  [analyte name].  The absolute value of the slope of f.ff was above the maximum of f.ff</t>
  </si>
  <si>
    <t>5016: Failed to verify valid background error for analyte [analyte name]. The RMS error of f.f was above the maximum of f.f</t>
  </si>
  <si>
    <t>5017: X probe check failed. Probe check value of n for reading number m was below the valid level of p</t>
  </si>
  <si>
    <t>5018: Failed to verify valid probe check ratio for analyte [analyte name]. Probe check 1 = m, probe check 2 = n, ratio = f.ff greater than maximum f.ff</t>
  </si>
  <si>
    <t>5019: Failed to verify valid probe check ratio for analyte [analyte name]. Probe check 1 = m, probe check 2 = n, ratio = f.ff less than minimum f.ff</t>
  </si>
  <si>
    <t>5020 - Calculations experienced an unexpected error. The final result cannot be calculated.</t>
  </si>
  <si>
    <t>5021 - Error 5021: Analyte [analyte name] calculated result [calculated value name] is missing. The final result cannot be calculated.</t>
  </si>
  <si>
    <t>5022 - Error 5022: A calculated value is not a number. The final result cannot be calculated.</t>
  </si>
  <si>
    <t>5023 - Error 5023: Clinical factor [name] value [value] is not an integer</t>
  </si>
  <si>
    <t>5024 -  Signal loss detected in the growth curve for analyte [&lt;analyteName&gt;]. xx.x decrease in signal with yy.y% decrease at time zz second(s)</t>
  </si>
  <si>
    <t>5501 - Missing data points for [&lt;data item name&gt;]</t>
  </si>
  <si>
    <t>5524 - Signal to background ratio value of [S2B value] was below the minimum of [min baseline PCR].</t>
  </si>
  <si>
    <t>5525 - Mean signal at critical cycle [mean signal value] was below the minimum of [min mean signal value].</t>
  </si>
  <si>
    <t>5526 - Normalization Probe stability value at last cycle [actual value] was below the minimum of [min value].</t>
  </si>
  <si>
    <t>5527 - Mean background at critical cycle [mean background value] was above the maximum of [max mean background value].</t>
  </si>
  <si>
    <t>5536 - [&lt;analyte name&gt;] primer binding check failed. Primer binding check value of &lt;pq0 value&gt; was below the minimum of &lt;min pq0 value&gt;.</t>
  </si>
  <si>
    <t>5537 - [&lt;analyte name&gt;] primer binding check failed. Primer binding check value of &lt;pq0 value&gt; was above the maximum of &lt;max pq0 value&gt;.</t>
  </si>
  <si>
    <t>5538 - Analyte [&lt;analyte name&gt;] has an amplitude of &lt;amplitude at critical value&gt; at critical cycle which fails to meet the threshold of &lt;Assay amplitude threshold value&gt;.</t>
  </si>
  <si>
    <t>Rule</t>
  </si>
  <si>
    <t>Idx mapping (Controls)</t>
  </si>
  <si>
    <t>idx 0 = Negative Control 1; idx 1 = Positive Control 1; idx 2 = Positive Control 2; idx 3 = Positive Control 3; idx 4 = Positive Control 4; idx 5 = Positive Control 5. Assays with Test Type = 'Specimen' are exceptions where idx represents panel layout rather than control index.</t>
  </si>
  <si>
    <t>Sample ID structure</t>
  </si>
  <si>
    <t>General pattern: PREFIX_BAG_IDX_POS+SUFFIX, where BAG = 00–10, IDX = 0–5, POS = 01–20. PREFIX = NEG/POS or cell name; SUFFIX can include A/AA/AAA for replacements and D01..D11 for delamination on specific chimneys.</t>
  </si>
  <si>
    <t>HPV NC1 Invalid</t>
  </si>
  <si>
    <t>For HPV assays (Tab=HPV), Negative Control 1 (idx 0) is expected to be INVALID by design and is not considered a functional failure.</t>
  </si>
  <si>
    <t>Max Pressure limit</t>
  </si>
  <si>
    <t>Max Pressure (PSI) must never exceed 90. Any test with Max Pressure &gt; 90 PSI is classified as functional pressure failure (no re-test).</t>
  </si>
  <si>
    <t>Invalid w/o error (non-HPV)</t>
  </si>
  <si>
    <t>Invalid result without an error code combined with SPC Ct=0 and non-HPV assay (and where expected category is not INVALID) is classified as Minor Functional (true functional failure).</t>
  </si>
  <si>
    <t>Instrument error vs Minor Functional</t>
  </si>
  <si>
    <t>Error codes listed explicitly in ErrorBank are treated as Minor Functional (no re-test). All other numeric error codes are treated as Instrument Error and should result in cartridge replacement / re-test.</t>
  </si>
  <si>
    <t>AssaySlang</t>
  </si>
  <si>
    <t>Part/Cat. No.</t>
  </si>
  <si>
    <t>Assay</t>
  </si>
  <si>
    <t>DocNumber</t>
  </si>
  <si>
    <t>SampleType</t>
  </si>
  <si>
    <t>SampleTypeSize</t>
  </si>
  <si>
    <t>Bag00Role</t>
  </si>
  <si>
    <t>Bag00RepRange</t>
  </si>
  <si>
    <t>Bag01-10RepRangeCode0</t>
  </si>
  <si>
    <t>ExpectedSampleTypeCode0</t>
  </si>
  <si>
    <t>ExpectedSampleTypeCode1</t>
  </si>
  <si>
    <t>OtherBagsRepRange</t>
  </si>
  <si>
    <t>BagsUsed</t>
  </si>
  <si>
    <t>ExpectedSampleTypeCode2</t>
  </si>
  <si>
    <t>ExpectedSampleTypeCode4</t>
  </si>
  <si>
    <t>ExpectedSampleTypeCode5</t>
  </si>
  <si>
    <t>ExpectedTotalPerBatch</t>
  </si>
  <si>
    <t>ValidSuffixes</t>
  </si>
  <si>
    <t>Xpert MTB-RIF Assay G4</t>
  </si>
  <si>
    <t>D31503</t>
  </si>
  <si>
    <t>_00</t>
  </si>
  <si>
    <t>01,02,03,04,05,06,07,08,09,10</t>
  </si>
  <si>
    <t>01–10</t>
  </si>
  <si>
    <t>00–10</t>
  </si>
  <si>
    <t>X,+,A,AA,AAA,D##</t>
  </si>
  <si>
    <t>Xpert MTB-RIF JP IVD</t>
  </si>
  <si>
    <t>D66612</t>
  </si>
  <si>
    <t>11–20</t>
  </si>
  <si>
    <t>D25862</t>
  </si>
  <si>
    <t>Xpert MTB-XDR</t>
  </si>
  <si>
    <t>D37339</t>
  </si>
  <si>
    <t>NC1</t>
  </si>
  <si>
    <t>1–15</t>
  </si>
  <si>
    <t>Xpress Flu IPT_EAT off</t>
  </si>
  <si>
    <t>D26120</t>
  </si>
  <si>
    <t>PC1</t>
  </si>
  <si>
    <t>16–18</t>
  </si>
  <si>
    <t>Xpert Xpress Flu-RSV</t>
  </si>
  <si>
    <t>PC2</t>
  </si>
  <si>
    <t>19–20</t>
  </si>
  <si>
    <t>Xpert Xpress_SARS-CoV-2_Flu_RSV</t>
  </si>
  <si>
    <t>D41929</t>
  </si>
  <si>
    <t>Xpress SARS-CoV-2_Flu_RSV plus</t>
  </si>
  <si>
    <t>D47377</t>
  </si>
  <si>
    <t>Xpert Xpress CoV-2 plus</t>
  </si>
  <si>
    <t>D48538</t>
  </si>
  <si>
    <t>Xpert CT_CE</t>
  </si>
  <si>
    <t>D16904</t>
  </si>
  <si>
    <t>Xpert CT_NG</t>
  </si>
  <si>
    <t>D66615</t>
  </si>
  <si>
    <t>700-5178</t>
  </si>
  <si>
    <t>Xpert C.difficile BT</t>
  </si>
  <si>
    <t>D37468</t>
  </si>
  <si>
    <t>700-5102</t>
  </si>
  <si>
    <t>Xpert C.difficile G3</t>
  </si>
  <si>
    <t>D66613</t>
  </si>
  <si>
    <t>Xpert Ebola EUA</t>
  </si>
  <si>
    <t>D21938</t>
  </si>
  <si>
    <t>_01</t>
  </si>
  <si>
    <t>Xpert Ebola CE-IVD</t>
  </si>
  <si>
    <t>Xpert HPV v2 HR</t>
  </si>
  <si>
    <t>D16546</t>
  </si>
  <si>
    <t>Xpert HPV HR</t>
  </si>
  <si>
    <t>Xpert HBV Viral Load</t>
  </si>
  <si>
    <t>D51114</t>
  </si>
  <si>
    <t>HCV</t>
  </si>
  <si>
    <t>Xpert HCV PQC</t>
  </si>
  <si>
    <t>D70915</t>
  </si>
  <si>
    <t>Xpert_HCV Viral Load</t>
  </si>
  <si>
    <t>D51112</t>
  </si>
  <si>
    <t>HCV VL FS</t>
  </si>
  <si>
    <t>Xpert HCV VL Fingerstick</t>
  </si>
  <si>
    <t>D51113</t>
  </si>
  <si>
    <t>Xpert_HIV-1 Viral Load</t>
  </si>
  <si>
    <t>D51110</t>
  </si>
  <si>
    <t>Xpert HIV-1 Viral Load XC</t>
  </si>
  <si>
    <t>D51111</t>
  </si>
  <si>
    <t>Xpert_HIV-1 Qual</t>
  </si>
  <si>
    <t>D61353</t>
  </si>
  <si>
    <t>D79377</t>
  </si>
  <si>
    <t>Xpert Xpress SARS-CoV-2 CE-IVD</t>
  </si>
  <si>
    <t>D39525</t>
  </si>
  <si>
    <t>GXSACOMP-CE-10</t>
  </si>
  <si>
    <t>D36872</t>
  </si>
  <si>
    <t>GXMRSA/SA-SSTI-CE</t>
  </si>
  <si>
    <t>GXSACOMP-CN-10</t>
  </si>
  <si>
    <t>MRSA JP</t>
  </si>
  <si>
    <t>Xpert SA Nasal Complete G3</t>
  </si>
  <si>
    <t>D66614</t>
  </si>
  <si>
    <t>Xpert MRSA NxG</t>
  </si>
  <si>
    <t>D23916</t>
  </si>
  <si>
    <t>Xpert Norovirus</t>
  </si>
  <si>
    <t>D17716</t>
  </si>
  <si>
    <t>VAN AB</t>
  </si>
  <si>
    <t>Xpert vanA vanB</t>
  </si>
  <si>
    <t>D55782</t>
  </si>
  <si>
    <t>Xpert Xpress GBS</t>
  </si>
  <si>
    <t>D37988</t>
  </si>
  <si>
    <t>Xpert GBS LB XC</t>
  </si>
  <si>
    <t>D68621</t>
  </si>
  <si>
    <t>Xpert Xpress GBS US-IVD</t>
  </si>
  <si>
    <t>D68620</t>
  </si>
  <si>
    <t>Xpert Xpress Strep A</t>
  </si>
  <si>
    <t>D27089</t>
  </si>
  <si>
    <t>Xpert Xpress_Strep A</t>
  </si>
  <si>
    <t>Xpert Carba-R</t>
  </si>
  <si>
    <t>D18272</t>
  </si>
  <si>
    <t>Xpert_Carba-R</t>
  </si>
  <si>
    <t>For HPV assays, Negative Control 1 is expected to be INVALID by design and is not considered a functional failure.</t>
  </si>
  <si>
    <t>ERROR / NO RESULT / INVALID</t>
  </si>
  <si>
    <t>Aborted / Done</t>
  </si>
  <si>
    <t>False Result (False Positive or false Negative)</t>
  </si>
  <si>
    <t>When an specific expected target deviate from Assay rules</t>
  </si>
  <si>
    <t>FUNCTIONAL_MINOR_MTB_ASSAYS_POS</t>
  </si>
  <si>
    <t>If any MTB Assay expected to be positive has "Indeterminate" in Test Result then it's a true minor functional</t>
  </si>
  <si>
    <t>Minor Functional</t>
  </si>
  <si>
    <t>Major Functional</t>
  </si>
  <si>
    <t>C15NOV23D_03_1_14X</t>
  </si>
  <si>
    <t>C15NOV23D_03_1_15+</t>
  </si>
  <si>
    <t>C15NOV23D_03_1_16+</t>
  </si>
  <si>
    <t>2025-10-26T04:57:00+0100</t>
  </si>
  <si>
    <t>2025-10-26T04:57:26+0100</t>
  </si>
  <si>
    <t>2025-10-26T04:57:53+0100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</si>
</sst>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0.0"/>
    <numFmt numFmtId="166" formatCode="yyyy\-mm\-dd;@"/>
  </numFmts>
  <fonts count="3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rgb="FF0066CC"/>
      <name val="Arial"/>
      <family val="2"/>
    </font>
    <font>
      <b/>
      <sz val="18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rgb="FFFFFFFF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22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C000"/>
      <name val="Aptos Narrow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</patternFill>
    </fill>
    <fill>
      <patternFill patternType="solid">
        <fgColor rgb="FFB5E6A2"/>
      </patternFill>
    </fill>
    <fill>
      <patternFill patternType="solid">
        <fgColor rgb="FFFFB3B3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</patternFill>
    </fill>
    <fill>
      <patternFill patternType="solid">
        <fgColor rgb="FFD9D9D9"/>
      </patternFill>
    </fill>
    <fill>
      <patternFill patternType="solid">
        <fgColor rgb="FFB5E6A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</patternFill>
    </fill>
    <fill>
      <patternFill patternType="solid">
        <fgColor rgb="FFB5E7A1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A21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008B"/>
      </patternFill>
    </fill>
    <fill>
      <patternFill patternType="solid">
        <fgColor rgb="FFDCDCDC"/>
      </patternFill>
    </fill>
    <fill>
      <patternFill patternType="solid">
        <fgColor rgb="FFF5F5F5"/>
      </patternFill>
    </fill>
  </fills>
  <borders count="9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8" fillId="0" borderId="0"/>
  </cellStyleXfs>
  <cellXfs count="304">
    <xf numFmtId="0" fontId="0" fillId="0" borderId="0" xfId="0"/>
    <xf numFmtId="0" fontId="3" fillId="6" borderId="4" xfId="0" applyFont="1" applyFill="1" applyBorder="1"/>
    <xf numFmtId="0" fontId="3" fillId="6" borderId="5" xfId="0" applyFont="1" applyFill="1" applyBorder="1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6" borderId="3" xfId="0" applyFont="1" applyFill="1" applyBorder="1" applyAlignment="1">
      <alignment horizontal="left" vertical="center"/>
    </xf>
    <xf numFmtId="0" fontId="11" fillId="0" borderId="13" xfId="1" applyFont="1" applyBorder="1" applyAlignment="1">
      <alignment horizontal="left" vertical="top"/>
    </xf>
    <xf numFmtId="0" fontId="11" fillId="0" borderId="12" xfId="1" applyFont="1" applyBorder="1" applyAlignment="1">
      <alignment horizontal="left" vertical="top"/>
    </xf>
    <xf numFmtId="0" fontId="12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7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49" fontId="0" fillId="11" borderId="13" xfId="0" applyNumberForma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0" fillId="7" borderId="8" xfId="0" applyNumberFormat="1" applyFill="1" applyBorder="1" applyAlignment="1">
      <alignment horizontal="center" vertical="center"/>
    </xf>
    <xf numFmtId="49" fontId="0" fillId="7" borderId="9" xfId="0" applyNumberFormat="1" applyFill="1" applyBorder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49" fontId="0" fillId="7" borderId="11" xfId="0" applyNumberFormat="1" applyFill="1" applyBorder="1" applyAlignment="1">
      <alignment horizontal="center" vertical="center"/>
    </xf>
    <xf numFmtId="0" fontId="16" fillId="17" borderId="25" xfId="0" applyFont="1" applyFill="1" applyBorder="1"/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49" fontId="0" fillId="11" borderId="17" xfId="0" applyNumberForma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164" fontId="0" fillId="11" borderId="16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49" fontId="0" fillId="7" borderId="14" xfId="0" applyNumberFormat="1" applyFill="1" applyBorder="1" applyAlignment="1">
      <alignment horizontal="center"/>
    </xf>
    <xf numFmtId="0" fontId="8" fillId="0" borderId="0" xfId="0" applyFont="1"/>
    <xf numFmtId="0" fontId="9" fillId="0" borderId="15" xfId="0" applyFont="1" applyBorder="1"/>
    <xf numFmtId="0" fontId="9" fillId="0" borderId="0" xfId="0" applyFont="1"/>
    <xf numFmtId="0" fontId="9" fillId="12" borderId="9" xfId="0" applyFont="1" applyFill="1" applyBorder="1"/>
    <xf numFmtId="0" fontId="8" fillId="0" borderId="9" xfId="0" applyFont="1" applyBorder="1" applyAlignment="1">
      <alignment horizontal="left" vertical="top"/>
    </xf>
    <xf numFmtId="0" fontId="8" fillId="12" borderId="13" xfId="0" applyFont="1" applyFill="1" applyBorder="1"/>
    <xf numFmtId="0" fontId="8" fillId="0" borderId="13" xfId="0" applyFont="1" applyBorder="1" applyAlignment="1">
      <alignment horizontal="left" vertical="top"/>
    </xf>
    <xf numFmtId="0" fontId="8" fillId="12" borderId="12" xfId="0" applyFont="1" applyFill="1" applyBorder="1"/>
    <xf numFmtId="0" fontId="8" fillId="0" borderId="12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16" borderId="22" xfId="0" applyFont="1" applyFill="1" applyBorder="1"/>
    <xf numFmtId="49" fontId="8" fillId="0" borderId="9" xfId="0" applyNumberFormat="1" applyFont="1" applyBorder="1" applyAlignment="1">
      <alignment horizontal="left" vertical="top"/>
    </xf>
    <xf numFmtId="0" fontId="9" fillId="0" borderId="0" xfId="0" applyFont="1" applyAlignment="1">
      <alignment horizontal="center"/>
    </xf>
    <xf numFmtId="0" fontId="8" fillId="16" borderId="20" xfId="0" applyFont="1" applyFill="1" applyBorder="1"/>
    <xf numFmtId="49" fontId="8" fillId="0" borderId="13" xfId="0" applyNumberFormat="1" applyFont="1" applyBorder="1" applyAlignment="1">
      <alignment horizontal="left" vertical="top"/>
    </xf>
    <xf numFmtId="49" fontId="8" fillId="16" borderId="21" xfId="0" applyNumberFormat="1" applyFont="1" applyFill="1" applyBorder="1"/>
    <xf numFmtId="49" fontId="8" fillId="0" borderId="12" xfId="0" applyNumberFormat="1" applyFont="1" applyBorder="1" applyAlignment="1">
      <alignment horizontal="left" vertical="top"/>
    </xf>
    <xf numFmtId="49" fontId="8" fillId="0" borderId="0" xfId="0" applyNumberFormat="1" applyFont="1"/>
    <xf numFmtId="49" fontId="8" fillId="0" borderId="0" xfId="0" applyNumberFormat="1" applyFont="1" applyAlignment="1">
      <alignment horizontal="left" vertical="top"/>
    </xf>
    <xf numFmtId="0" fontId="9" fillId="9" borderId="22" xfId="0" applyFont="1" applyFill="1" applyBorder="1"/>
    <xf numFmtId="0" fontId="8" fillId="9" borderId="20" xfId="0" applyFont="1" applyFill="1" applyBorder="1"/>
    <xf numFmtId="0" fontId="8" fillId="9" borderId="21" xfId="0" applyFont="1" applyFill="1" applyBorder="1"/>
    <xf numFmtId="0" fontId="9" fillId="14" borderId="22" xfId="0" applyFont="1" applyFill="1" applyBorder="1"/>
    <xf numFmtId="0" fontId="8" fillId="14" borderId="20" xfId="0" applyFont="1" applyFill="1" applyBorder="1"/>
    <xf numFmtId="0" fontId="8" fillId="14" borderId="21" xfId="0" applyFont="1" applyFill="1" applyBorder="1"/>
    <xf numFmtId="0" fontId="9" fillId="13" borderId="24" xfId="0" applyFont="1" applyFill="1" applyBorder="1"/>
    <xf numFmtId="49" fontId="8" fillId="0" borderId="23" xfId="0" applyNumberFormat="1" applyFont="1" applyBorder="1" applyAlignment="1">
      <alignment horizontal="left" vertical="top"/>
    </xf>
    <xf numFmtId="0" fontId="8" fillId="13" borderId="20" xfId="0" applyFont="1" applyFill="1" applyBorder="1"/>
    <xf numFmtId="0" fontId="8" fillId="13" borderId="21" xfId="0" applyFont="1" applyFill="1" applyBorder="1"/>
    <xf numFmtId="0" fontId="9" fillId="15" borderId="9" xfId="0" applyFont="1" applyFill="1" applyBorder="1"/>
    <xf numFmtId="0" fontId="11" fillId="0" borderId="9" xfId="0" applyFont="1" applyBorder="1" applyAlignment="1">
      <alignment horizontal="left" vertical="top"/>
    </xf>
    <xf numFmtId="0" fontId="8" fillId="15" borderId="13" xfId="0" applyFont="1" applyFill="1" applyBorder="1"/>
    <xf numFmtId="0" fontId="8" fillId="15" borderId="12" xfId="0" applyFont="1" applyFill="1" applyBorder="1"/>
    <xf numFmtId="49" fontId="8" fillId="0" borderId="13" xfId="0" applyNumberFormat="1" applyFont="1" applyBorder="1"/>
    <xf numFmtId="0" fontId="15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8" fillId="0" borderId="0" xfId="0" applyFont="1"/>
    <xf numFmtId="0" fontId="15" fillId="16" borderId="18" xfId="0" applyFont="1" applyFill="1" applyBorder="1"/>
    <xf numFmtId="0" fontId="15" fillId="16" borderId="0" xfId="0" applyFont="1" applyFill="1"/>
    <xf numFmtId="0" fontId="15" fillId="16" borderId="31" xfId="0" applyFont="1" applyFill="1" applyBorder="1"/>
    <xf numFmtId="0" fontId="20" fillId="0" borderId="33" xfId="0" applyFont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9" borderId="35" xfId="0" applyFont="1" applyFill="1" applyBorder="1" applyAlignment="1">
      <alignment horizontal="center"/>
    </xf>
    <xf numFmtId="0" fontId="14" fillId="16" borderId="0" xfId="0" applyFont="1" applyFill="1"/>
    <xf numFmtId="0" fontId="13" fillId="0" borderId="33" xfId="0" applyFont="1" applyBorder="1" applyAlignment="1">
      <alignment horizontal="center"/>
    </xf>
    <xf numFmtId="0" fontId="15" fillId="20" borderId="36" xfId="0" applyFont="1" applyFill="1" applyBorder="1" applyAlignment="1">
      <alignment horizontal="center"/>
    </xf>
    <xf numFmtId="0" fontId="15" fillId="20" borderId="37" xfId="0" applyFont="1" applyFill="1" applyBorder="1" applyAlignment="1">
      <alignment horizontal="center"/>
    </xf>
    <xf numFmtId="0" fontId="20" fillId="0" borderId="38" xfId="0" applyFont="1" applyBorder="1" applyAlignment="1">
      <alignment horizontal="center"/>
    </xf>
    <xf numFmtId="164" fontId="14" fillId="19" borderId="39" xfId="0" applyNumberFormat="1" applyFont="1" applyFill="1" applyBorder="1" applyAlignment="1">
      <alignment horizontal="center" vertical="center"/>
    </xf>
    <xf numFmtId="164" fontId="14" fillId="19" borderId="40" xfId="0" applyNumberFormat="1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/>
    </xf>
    <xf numFmtId="49" fontId="15" fillId="20" borderId="42" xfId="0" applyNumberFormat="1" applyFont="1" applyFill="1" applyBorder="1" applyAlignment="1">
      <alignment horizontal="center"/>
    </xf>
    <xf numFmtId="17" fontId="15" fillId="20" borderId="43" xfId="0" applyNumberFormat="1" applyFont="1" applyFill="1" applyBorder="1" applyAlignment="1">
      <alignment horizontal="center"/>
    </xf>
    <xf numFmtId="0" fontId="14" fillId="16" borderId="44" xfId="0" applyFont="1" applyFill="1" applyBorder="1"/>
    <xf numFmtId="0" fontId="13" fillId="0" borderId="45" xfId="0" applyFont="1" applyBorder="1" applyAlignment="1">
      <alignment horizontal="center"/>
    </xf>
    <xf numFmtId="0" fontId="15" fillId="20" borderId="46" xfId="0" applyFont="1" applyFill="1" applyBorder="1" applyAlignment="1">
      <alignment horizontal="center"/>
    </xf>
    <xf numFmtId="0" fontId="15" fillId="20" borderId="47" xfId="0" applyFont="1" applyFill="1" applyBorder="1" applyAlignment="1">
      <alignment horizontal="center"/>
    </xf>
    <xf numFmtId="0" fontId="15" fillId="20" borderId="48" xfId="0" applyFont="1" applyFill="1" applyBorder="1" applyAlignment="1">
      <alignment horizontal="center"/>
    </xf>
    <xf numFmtId="164" fontId="15" fillId="20" borderId="42" xfId="0" applyNumberFormat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164" fontId="15" fillId="20" borderId="41" xfId="0" applyNumberFormat="1" applyFont="1" applyFill="1" applyBorder="1" applyAlignment="1">
      <alignment horizontal="center" vertical="center"/>
    </xf>
    <xf numFmtId="164" fontId="15" fillId="20" borderId="43" xfId="0" applyNumberFormat="1" applyFont="1" applyFill="1" applyBorder="1" applyAlignment="1">
      <alignment horizontal="center" vertical="center"/>
    </xf>
    <xf numFmtId="0" fontId="15" fillId="16" borderId="44" xfId="0" applyFont="1" applyFill="1" applyBorder="1"/>
    <xf numFmtId="0" fontId="13" fillId="0" borderId="46" xfId="0" applyFont="1" applyBorder="1" applyAlignment="1">
      <alignment horizontal="center"/>
    </xf>
    <xf numFmtId="0" fontId="15" fillId="16" borderId="50" xfId="0" applyFont="1" applyFill="1" applyBorder="1"/>
    <xf numFmtId="0" fontId="15" fillId="16" borderId="40" xfId="0" applyFont="1" applyFill="1" applyBorder="1"/>
    <xf numFmtId="0" fontId="2" fillId="21" borderId="51" xfId="0" applyFont="1" applyFill="1" applyBorder="1" applyAlignment="1">
      <alignment vertical="center" wrapText="1"/>
    </xf>
    <xf numFmtId="0" fontId="2" fillId="23" borderId="21" xfId="0" applyFont="1" applyFill="1" applyBorder="1" applyAlignment="1">
      <alignment vertical="center" wrapText="1"/>
    </xf>
    <xf numFmtId="0" fontId="2" fillId="21" borderId="51" xfId="2" applyFont="1" applyFill="1" applyBorder="1" applyAlignment="1">
      <alignment vertical="center" wrapText="1"/>
    </xf>
    <xf numFmtId="0" fontId="2" fillId="21" borderId="21" xfId="2" applyFont="1" applyFill="1" applyBorder="1" applyAlignment="1">
      <alignment vertical="center" wrapText="1"/>
    </xf>
    <xf numFmtId="0" fontId="22" fillId="0" borderId="0" xfId="0" applyFont="1"/>
    <xf numFmtId="0" fontId="22" fillId="0" borderId="4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4" fillId="24" borderId="56" xfId="0" applyFont="1" applyFill="1" applyBorder="1" applyAlignment="1">
      <alignment horizontal="center" vertical="center"/>
    </xf>
    <xf numFmtId="0" fontId="24" fillId="24" borderId="57" xfId="0" applyFont="1" applyFill="1" applyBorder="1" applyAlignment="1">
      <alignment horizontal="center" vertical="center"/>
    </xf>
    <xf numFmtId="166" fontId="24" fillId="24" borderId="57" xfId="0" applyNumberFormat="1" applyFont="1" applyFill="1" applyBorder="1" applyAlignment="1">
      <alignment horizontal="center" vertical="center"/>
    </xf>
    <xf numFmtId="14" fontId="24" fillId="24" borderId="58" xfId="0" applyNumberFormat="1" applyFont="1" applyFill="1" applyBorder="1" applyAlignment="1">
      <alignment horizontal="center" vertical="center"/>
    </xf>
    <xf numFmtId="0" fontId="24" fillId="24" borderId="59" xfId="0" applyFont="1" applyFill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166" fontId="22" fillId="0" borderId="61" xfId="0" applyNumberFormat="1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66" fontId="22" fillId="0" borderId="64" xfId="0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166" fontId="22" fillId="0" borderId="67" xfId="0" applyNumberFormat="1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4" fillId="24" borderId="69" xfId="0" applyFont="1" applyFill="1" applyBorder="1" applyAlignment="1">
      <alignment horizontal="center" vertical="center"/>
    </xf>
    <xf numFmtId="0" fontId="24" fillId="24" borderId="70" xfId="0" applyFont="1" applyFill="1" applyBorder="1" applyAlignment="1">
      <alignment horizontal="center" vertical="center"/>
    </xf>
    <xf numFmtId="166" fontId="24" fillId="24" borderId="70" xfId="0" applyNumberFormat="1" applyFont="1" applyFill="1" applyBorder="1" applyAlignment="1">
      <alignment horizontal="center" vertical="center"/>
    </xf>
    <xf numFmtId="14" fontId="24" fillId="24" borderId="71" xfId="0" applyNumberFormat="1" applyFont="1" applyFill="1" applyBorder="1" applyAlignment="1">
      <alignment horizontal="center" vertical="center"/>
    </xf>
    <xf numFmtId="0" fontId="24" fillId="24" borderId="72" xfId="0" applyFont="1" applyFill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4" fontId="24" fillId="16" borderId="57" xfId="0" applyNumberFormat="1" applyFont="1" applyFill="1" applyBorder="1" applyAlignment="1">
      <alignment horizontal="center" vertical="center"/>
    </xf>
    <xf numFmtId="0" fontId="24" fillId="16" borderId="57" xfId="0" applyFont="1" applyFill="1" applyBorder="1" applyAlignment="1">
      <alignment horizontal="center" vertical="center"/>
    </xf>
    <xf numFmtId="0" fontId="24" fillId="25" borderId="59" xfId="0" applyFont="1" applyFill="1" applyBorder="1"/>
    <xf numFmtId="0" fontId="22" fillId="0" borderId="0" xfId="0" applyFont="1" applyAlignment="1">
      <alignment wrapText="1"/>
    </xf>
    <xf numFmtId="14" fontId="24" fillId="16" borderId="84" xfId="0" applyNumberFormat="1" applyFont="1" applyFill="1" applyBorder="1" applyAlignment="1">
      <alignment horizontal="center" vertical="center"/>
    </xf>
    <xf numFmtId="0" fontId="24" fillId="16" borderId="84" xfId="0" applyFont="1" applyFill="1" applyBorder="1" applyAlignment="1">
      <alignment horizontal="center" vertical="center"/>
    </xf>
    <xf numFmtId="0" fontId="24" fillId="25" borderId="2" xfId="0" applyFont="1" applyFill="1" applyBorder="1"/>
    <xf numFmtId="0" fontId="22" fillId="0" borderId="85" xfId="0" applyFont="1" applyBorder="1" applyAlignment="1">
      <alignment horizontal="center" vertical="center"/>
    </xf>
    <xf numFmtId="166" fontId="22" fillId="0" borderId="85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22" fillId="0" borderId="87" xfId="0" applyFont="1" applyBorder="1" applyAlignment="1">
      <alignment horizontal="center" vertical="center"/>
    </xf>
    <xf numFmtId="166" fontId="22" fillId="0" borderId="87" xfId="0" applyNumberFormat="1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13" fillId="27" borderId="90" xfId="0" applyFont="1" applyFill="1" applyBorder="1" applyAlignment="1">
      <alignment horizontal="left" vertical="center"/>
    </xf>
    <xf numFmtId="0" fontId="13" fillId="27" borderId="91" xfId="0" applyFont="1" applyFill="1" applyBorder="1" applyAlignment="1">
      <alignment horizontal="left" vertical="center"/>
    </xf>
    <xf numFmtId="0" fontId="15" fillId="28" borderId="93" xfId="0" applyFont="1" applyFill="1" applyBorder="1" applyAlignment="1">
      <alignment horizontal="left" vertical="center"/>
    </xf>
    <xf numFmtId="0" fontId="15" fillId="28" borderId="94" xfId="0" applyFont="1" applyFill="1" applyBorder="1" applyAlignment="1">
      <alignment horizontal="left" vertical="center"/>
    </xf>
    <xf numFmtId="0" fontId="15" fillId="28" borderId="93" xfId="0" applyFont="1" applyFill="1" applyBorder="1" applyAlignment="1">
      <alignment horizontal="left" vertical="top" wrapText="1"/>
    </xf>
    <xf numFmtId="0" fontId="4" fillId="4" borderId="6" xfId="0" applyFont="1" applyFill="1" applyBorder="1"/>
    <xf numFmtId="0" fontId="4" fillId="5" borderId="6" xfId="0" applyFont="1" applyFill="1" applyBorder="1"/>
    <xf numFmtId="0" fontId="5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9" fillId="0" borderId="95" xfId="0" applyFont="1" applyBorder="1" applyAlignment="1">
      <alignment horizontal="center" vertical="center"/>
    </xf>
    <xf numFmtId="0" fontId="6" fillId="9" borderId="64" xfId="0" applyFont="1" applyFill="1" applyBorder="1" applyAlignment="1">
      <alignment horizontal="center" vertical="center"/>
    </xf>
    <xf numFmtId="165" fontId="0" fillId="9" borderId="64" xfId="0" applyNumberFormat="1" applyFill="1" applyBorder="1" applyAlignment="1">
      <alignment horizontal="center" vertical="center"/>
    </xf>
    <xf numFmtId="165" fontId="7" fillId="8" borderId="64" xfId="0" applyNumberFormat="1" applyFont="1" applyFill="1" applyBorder="1" applyAlignment="1">
      <alignment horizontal="center" vertical="center"/>
    </xf>
    <xf numFmtId="0" fontId="7" fillId="8" borderId="64" xfId="0" applyFont="1" applyFill="1" applyBorder="1" applyAlignment="1">
      <alignment horizontal="center" vertical="center"/>
    </xf>
    <xf numFmtId="165" fontId="7" fillId="8" borderId="64" xfId="0" applyNumberFormat="1" applyFont="1" applyFill="1" applyBorder="1" applyAlignment="1">
      <alignment horizontal="center"/>
    </xf>
    <xf numFmtId="0" fontId="3" fillId="0" borderId="89" xfId="0" applyFont="1" applyBorder="1" applyAlignment="1">
      <alignment horizontal="center" vertical="center"/>
    </xf>
    <xf numFmtId="0" fontId="2" fillId="0" borderId="61" xfId="0" applyFont="1" applyBorder="1" applyAlignment="1" applyProtection="1">
      <alignment horizontal="center" vertical="center"/>
      <protection locked="0"/>
    </xf>
    <xf numFmtId="0" fontId="2" fillId="2" borderId="92" xfId="0" applyFont="1" applyFill="1" applyBorder="1" applyAlignment="1" applyProtection="1">
      <alignment horizontal="center" vertical="center"/>
      <protection locked="0"/>
    </xf>
    <xf numFmtId="0" fontId="1" fillId="10" borderId="93" xfId="0" applyFont="1" applyFill="1" applyBorder="1" applyAlignment="1">
      <alignment horizontal="center" vertical="center"/>
    </xf>
    <xf numFmtId="0" fontId="6" fillId="9" borderId="67" xfId="0" applyFont="1" applyFill="1" applyBorder="1" applyAlignment="1">
      <alignment horizontal="center" vertical="center"/>
    </xf>
    <xf numFmtId="165" fontId="0" fillId="9" borderId="67" xfId="0" applyNumberFormat="1" applyFill="1" applyBorder="1" applyAlignment="1">
      <alignment horizontal="center" vertical="center"/>
    </xf>
    <xf numFmtId="165" fontId="7" fillId="8" borderId="67" xfId="0" applyNumberFormat="1" applyFont="1" applyFill="1" applyBorder="1" applyAlignment="1">
      <alignment horizontal="center" vertical="center"/>
    </xf>
    <xf numFmtId="0" fontId="7" fillId="8" borderId="67" xfId="0" applyFont="1" applyFill="1" applyBorder="1" applyAlignment="1">
      <alignment horizontal="center" vertical="center"/>
    </xf>
    <xf numFmtId="0" fontId="1" fillId="10" borderId="94" xfId="0" applyFont="1" applyFill="1" applyBorder="1" applyAlignment="1">
      <alignment horizontal="center" vertical="center"/>
    </xf>
    <xf numFmtId="0" fontId="31" fillId="0" borderId="0" xfId="0" applyFont="1"/>
    <xf numFmtId="0" fontId="31" fillId="0" borderId="6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165" fontId="31" fillId="0" borderId="64" xfId="0" applyNumberFormat="1" applyFont="1" applyBorder="1" applyAlignment="1">
      <alignment horizontal="center" vertical="center"/>
    </xf>
    <xf numFmtId="1" fontId="31" fillId="0" borderId="64" xfId="0" quotePrefix="1" applyNumberFormat="1" applyFont="1" applyBorder="1" applyAlignment="1">
      <alignment horizontal="center" vertical="center"/>
    </xf>
    <xf numFmtId="0" fontId="29" fillId="0" borderId="95" xfId="0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vertical="top"/>
    </xf>
    <xf numFmtId="0" fontId="31" fillId="0" borderId="0" xfId="0" applyFont="1" applyAlignment="1">
      <alignment horizontal="left" vertical="center" indent="15"/>
    </xf>
    <xf numFmtId="0" fontId="31" fillId="0" borderId="0" xfId="0" applyFont="1" applyAlignment="1">
      <alignment horizontal="left"/>
    </xf>
    <xf numFmtId="1" fontId="31" fillId="0" borderId="64" xfId="0" applyNumberFormat="1" applyFont="1" applyBorder="1" applyAlignment="1">
      <alignment horizontal="center" vertical="center"/>
    </xf>
    <xf numFmtId="0" fontId="33" fillId="0" borderId="61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22" fontId="0" fillId="0" borderId="64" xfId="0" applyNumberForma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29" fillId="0" borderId="64" xfId="0" applyFont="1" applyBorder="1" applyAlignment="1" applyProtection="1">
      <alignment horizontal="center" vertical="center"/>
      <protection locked="0"/>
    </xf>
    <xf numFmtId="0" fontId="3" fillId="0" borderId="64" xfId="0" applyFont="1" applyBorder="1" applyAlignment="1">
      <alignment horizontal="center" vertical="top"/>
    </xf>
    <xf numFmtId="0" fontId="2" fillId="0" borderId="64" xfId="0" applyFont="1" applyBorder="1" applyAlignment="1">
      <alignment horizontal="left" vertical="top"/>
    </xf>
    <xf numFmtId="0" fontId="21" fillId="0" borderId="64" xfId="0" applyFont="1" applyBorder="1" applyAlignment="1">
      <alignment vertical="top"/>
    </xf>
    <xf numFmtId="0" fontId="21" fillId="0" borderId="64" xfId="0" applyFont="1" applyBorder="1" applyAlignment="1">
      <alignment horizontal="left" vertical="top"/>
    </xf>
    <xf numFmtId="0" fontId="21" fillId="0" borderId="64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13" fillId="0" borderId="0" xfId="0" applyFont="1"/>
    <xf numFmtId="0" fontId="20" fillId="0" borderId="6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9" fillId="16" borderId="19" xfId="0" applyFont="1" applyFill="1" applyBorder="1" applyAlignment="1">
      <alignment horizontal="center" vertical="center"/>
    </xf>
    <xf numFmtId="0" fontId="2" fillId="16" borderId="29" xfId="0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15" fillId="18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1" fillId="22" borderId="42" xfId="0" applyFont="1" applyFill="1" applyBorder="1" applyAlignment="1" applyProtection="1">
      <alignment horizontal="center" vertical="center" wrapText="1"/>
      <protection locked="0"/>
    </xf>
    <xf numFmtId="0" fontId="21" fillId="22" borderId="43" xfId="0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21" fillId="22" borderId="46" xfId="0" applyFont="1" applyFill="1" applyBorder="1" applyAlignment="1" applyProtection="1">
      <alignment horizontal="center" vertical="center" wrapText="1"/>
      <protection locked="0"/>
    </xf>
    <xf numFmtId="0" fontId="21" fillId="22" borderId="47" xfId="0" applyFont="1" applyFill="1" applyBorder="1" applyAlignment="1" applyProtection="1">
      <alignment horizontal="center" vertical="center" wrapText="1"/>
      <protection locked="0"/>
    </xf>
    <xf numFmtId="0" fontId="21" fillId="22" borderId="52" xfId="0" applyFont="1" applyFill="1" applyBorder="1" applyAlignment="1" applyProtection="1">
      <alignment horizontal="center" vertical="center" wrapText="1"/>
      <protection locked="0"/>
    </xf>
    <xf numFmtId="0" fontId="21" fillId="22" borderId="53" xfId="0" applyFont="1" applyFill="1" applyBorder="1" applyAlignment="1" applyProtection="1">
      <alignment horizontal="center" vertical="center" wrapText="1"/>
      <protection locked="0"/>
    </xf>
    <xf numFmtId="0" fontId="21" fillId="22" borderId="48" xfId="0" applyFont="1" applyFill="1" applyBorder="1" applyAlignment="1" applyProtection="1">
      <alignment horizontal="center" vertical="center" wrapText="1"/>
      <protection locked="0"/>
    </xf>
    <xf numFmtId="17" fontId="21" fillId="22" borderId="41" xfId="0" applyNumberFormat="1" applyFont="1" applyFill="1" applyBorder="1" applyAlignment="1" applyProtection="1">
      <alignment horizontal="center" vertical="center" wrapText="1"/>
      <protection locked="0"/>
    </xf>
    <xf numFmtId="17" fontId="21" fillId="22" borderId="42" xfId="0" applyNumberFormat="1" applyFont="1" applyFill="1" applyBorder="1" applyAlignment="1" applyProtection="1">
      <alignment horizontal="center" vertical="center" wrapText="1"/>
      <protection locked="0"/>
    </xf>
    <xf numFmtId="17" fontId="21" fillId="22" borderId="21" xfId="2" applyNumberFormat="1" applyFont="1" applyFill="1" applyBorder="1" applyAlignment="1" applyProtection="1">
      <alignment horizontal="center" vertical="center" wrapText="1"/>
      <protection locked="0"/>
    </xf>
    <xf numFmtId="164" fontId="21" fillId="22" borderId="54" xfId="2" applyNumberFormat="1" applyFont="1" applyFill="1" applyBorder="1" applyAlignment="1" applyProtection="1">
      <alignment horizontal="center" vertical="center" wrapText="1"/>
      <protection locked="0"/>
    </xf>
    <xf numFmtId="17" fontId="21" fillId="22" borderId="42" xfId="2" applyNumberFormat="1" applyFont="1" applyFill="1" applyBorder="1" applyAlignment="1" applyProtection="1">
      <alignment horizontal="center" vertical="center" wrapText="1"/>
      <protection locked="0"/>
    </xf>
    <xf numFmtId="164" fontId="21" fillId="22" borderId="42" xfId="2" applyNumberFormat="1" applyFont="1" applyFill="1" applyBorder="1" applyAlignment="1" applyProtection="1">
      <alignment horizontal="center" vertical="center" wrapText="1"/>
      <protection locked="0"/>
    </xf>
    <xf numFmtId="49" fontId="21" fillId="22" borderId="47" xfId="2" applyNumberFormat="1" applyFont="1" applyFill="1" applyBorder="1" applyAlignment="1" applyProtection="1">
      <alignment horizontal="center" vertical="center" wrapText="1"/>
      <protection locked="0"/>
    </xf>
    <xf numFmtId="49" fontId="21" fillId="22" borderId="48" xfId="2" applyNumberFormat="1" applyFont="1" applyFill="1" applyBorder="1" applyAlignment="1" applyProtection="1">
      <alignment horizontal="center" vertical="center" wrapText="1"/>
      <protection locked="0"/>
    </xf>
    <xf numFmtId="0" fontId="17" fillId="16" borderId="49" xfId="0" applyFont="1" applyFill="1" applyBorder="1" applyAlignment="1">
      <alignment horizontal="center"/>
    </xf>
    <xf numFmtId="0" fontId="13" fillId="16" borderId="50" xfId="0" applyFont="1" applyFill="1" applyBorder="1" applyAlignment="1">
      <alignment horizontal="center"/>
    </xf>
    <xf numFmtId="0" fontId="21" fillId="22" borderId="41" xfId="0" applyFont="1" applyFill="1" applyBorder="1" applyAlignment="1" applyProtection="1">
      <alignment horizontal="center" vertical="center" wrapText="1"/>
      <protection locked="0"/>
    </xf>
    <xf numFmtId="164" fontId="21" fillId="22" borderId="43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49" fontId="21" fillId="22" borderId="51" xfId="2" applyNumberFormat="1" applyFont="1" applyFill="1" applyBorder="1" applyAlignment="1" applyProtection="1">
      <alignment horizontal="center" vertical="center" wrapText="1"/>
      <protection locked="0"/>
    </xf>
    <xf numFmtId="49" fontId="21" fillId="22" borderId="53" xfId="2" applyNumberFormat="1" applyFont="1" applyFill="1" applyBorder="1" applyAlignment="1" applyProtection="1">
      <alignment horizontal="center" vertical="center" wrapText="1"/>
      <protection locked="0"/>
    </xf>
    <xf numFmtId="0" fontId="22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166" fontId="22" fillId="0" borderId="83" xfId="0" applyNumberFormat="1" applyFont="1" applyBorder="1" applyAlignment="1">
      <alignment horizontal="center" vertical="center"/>
    </xf>
    <xf numFmtId="166" fontId="22" fillId="0" borderId="54" xfId="0" applyNumberFormat="1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166" fontId="22" fillId="0" borderId="80" xfId="0" applyNumberFormat="1" applyFont="1" applyBorder="1" applyAlignment="1">
      <alignment horizontal="center" vertical="center"/>
    </xf>
    <xf numFmtId="166" fontId="22" fillId="0" borderId="79" xfId="0" applyNumberFormat="1" applyFont="1" applyBorder="1" applyAlignment="1">
      <alignment horizontal="center" vertical="center"/>
    </xf>
    <xf numFmtId="0" fontId="23" fillId="24" borderId="6" xfId="0" applyFont="1" applyFill="1" applyBorder="1" applyAlignment="1">
      <alignment horizontal="center" vertical="center" wrapText="1"/>
    </xf>
    <xf numFmtId="0" fontId="23" fillId="24" borderId="55" xfId="0" applyFont="1" applyFill="1" applyBorder="1" applyAlignment="1">
      <alignment horizontal="center" vertical="center" wrapText="1"/>
    </xf>
    <xf numFmtId="0" fontId="23" fillId="24" borderId="7" xfId="0" applyFont="1" applyFill="1" applyBorder="1" applyAlignment="1">
      <alignment horizontal="center" vertical="center" wrapText="1"/>
    </xf>
    <xf numFmtId="0" fontId="22" fillId="0" borderId="75" xfId="0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4" fillId="16" borderId="6" xfId="0" applyFont="1" applyFill="1" applyBorder="1" applyAlignment="1">
      <alignment horizontal="center" vertical="center" wrapText="1"/>
    </xf>
    <xf numFmtId="0" fontId="24" fillId="16" borderId="55" xfId="0" applyFont="1" applyFill="1" applyBorder="1" applyAlignment="1">
      <alignment horizontal="center" vertical="center" wrapText="1"/>
    </xf>
    <xf numFmtId="0" fontId="24" fillId="16" borderId="73" xfId="0" applyFont="1" applyFill="1" applyBorder="1" applyAlignment="1">
      <alignment horizontal="center" vertical="center" wrapText="1"/>
    </xf>
    <xf numFmtId="0" fontId="24" fillId="16" borderId="74" xfId="0" applyFont="1" applyFill="1" applyBorder="1" applyAlignment="1">
      <alignment horizontal="center" vertical="center"/>
    </xf>
    <xf numFmtId="0" fontId="24" fillId="16" borderId="73" xfId="0" applyFont="1" applyFill="1" applyBorder="1" applyAlignment="1">
      <alignment horizontal="center" vertical="center"/>
    </xf>
    <xf numFmtId="0" fontId="23" fillId="16" borderId="6" xfId="0" applyFont="1" applyFill="1" applyBorder="1" applyAlignment="1">
      <alignment horizontal="center" vertical="center" wrapText="1"/>
    </xf>
    <xf numFmtId="0" fontId="23" fillId="16" borderId="55" xfId="0" applyFont="1" applyFill="1" applyBorder="1" applyAlignment="1">
      <alignment horizontal="center" vertical="center"/>
    </xf>
    <xf numFmtId="0" fontId="23" fillId="16" borderId="7" xfId="0" applyFont="1" applyFill="1" applyBorder="1" applyAlignment="1">
      <alignment horizontal="center" vertical="center"/>
    </xf>
    <xf numFmtId="166" fontId="22" fillId="0" borderId="52" xfId="0" applyNumberFormat="1" applyFont="1" applyBorder="1" applyAlignment="1">
      <alignment horizontal="center" vertical="center"/>
    </xf>
    <xf numFmtId="166" fontId="22" fillId="0" borderId="5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3" fillId="16" borderId="55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25" fillId="26" borderId="89" xfId="0" applyFont="1" applyFill="1" applyBorder="1" applyAlignment="1">
      <alignment horizontal="left" vertical="center"/>
    </xf>
    <xf numFmtId="0" fontId="15" fillId="0" borderId="92" xfId="0" applyFont="1" applyBorder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31" fillId="0" borderId="64" xfId="0" applyFont="1" applyBorder="1" applyAlignment="1">
      <alignment horizontal="left" vertical="top"/>
    </xf>
    <xf numFmtId="0" fontId="31" fillId="0" borderId="64" xfId="0" applyFont="1" applyBorder="1"/>
    <xf numFmtId="0" fontId="31" fillId="0" borderId="52" xfId="0" applyFont="1" applyBorder="1" applyAlignment="1">
      <alignment horizontal="center" vertical="center"/>
    </xf>
    <xf numFmtId="0" fontId="31" fillId="0" borderId="80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2" fillId="4" borderId="64" xfId="0" applyFont="1" applyFill="1" applyBorder="1"/>
    <xf numFmtId="0" fontId="33" fillId="0" borderId="53" xfId="0" applyFont="1" applyBorder="1" applyAlignment="1">
      <alignment horizontal="center" vertical="center"/>
    </xf>
    <xf numFmtId="0" fontId="33" fillId="0" borderId="79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29" fillId="0" borderId="96" xfId="0" applyFont="1" applyBorder="1" applyAlignment="1" applyProtection="1">
      <alignment horizontal="center" vertical="center"/>
      <protection locked="0"/>
    </xf>
    <xf numFmtId="0" fontId="31" fillId="0" borderId="5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34" fillId="0" borderId="0" xfId="0" applyFont="1"/>
    <xf numFmtId="0" fontId="35" fillId="0" borderId="0" xfId="0" applyFont="1"/>
  </cellXfs>
  <cellStyles count="3">
    <cellStyle name="Hyperlänk" xfId="1" builtinId="8"/>
    <cellStyle name="Normal" xfId="0" builtinId="0"/>
    <cellStyle name="Normal 5" xfId="2" xr:uid="{00000000-0005-0000-0000-000002000000}"/>
  </cellStyles>
  <dxfs count="5">
    <dxf>
      <fill>
        <patternFill patternType="solid">
          <bgColor rgb="FFC6EF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B3B3"/>
      <color rgb="FFB5E6A2"/>
      <color rgb="FFD9D9D9"/>
      <color rgb="FFCCFFFF"/>
      <color rgb="FFFFC5B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://mes.cepheid.pri/camstarportal/?domain=CEPHEID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apps.powerapps.com/play/e/default-771c9c47-7f24-44dc-958e-34f8713a8394/a/fd340dbd-bbbf-470b-b043-d2af4cb62c83" TargetMode="External"/><Relationship Id="rId1" Type="http://schemas.openxmlformats.org/officeDocument/2006/relationships/hyperlink" Target="https://danaher.sharepoint.com/sites/CEP-Sweden-Production-Management/Lists/Cepheid%20%20Production%20orders/ROBAL.aspx?viewid=6c9e53c9-a377-40c1-a154-13a13866b52b&amp;view=7&amp;q=1001506046" TargetMode="External"/><Relationship Id="rId6" Type="http://schemas.openxmlformats.org/officeDocument/2006/relationships/hyperlink" Target="https://agileprod.cepheid.com/Agile/default/login-cms.jsp" TargetMode="External"/><Relationship Id="rId5" Type="http://schemas.openxmlformats.org/officeDocument/2006/relationships/hyperlink" Target="https://cepheid62468.coolbluecloud.com/" TargetMode="External"/><Relationship Id="rId4" Type="http://schemas.openxmlformats.org/officeDocument/2006/relationships/hyperlink" Target="http://auw2wgxtpap01.cepaws.com/Welcom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8D55-44D2-42EA-9EDA-BE2643F645F7}">
  <sheetPr>
    <tabColor rgb="FF3498DB"/>
  </sheetPr>
  <dimension ref="A1:C39"/>
  <sheetViews>
    <sheetView tabSelected="1" zoomScale="85" zoomScaleNormal="85" workbookViewId="0">
      <selection activeCell="D14" sqref="D14"/>
    </sheetView>
  </sheetViews>
  <sheetFormatPr baseColWidth="10" defaultColWidth="9.1640625" defaultRowHeight="14"/>
  <cols>
    <col min="1" max="1" width="34.6640625" style="42" bestFit="1" customWidth="1"/>
    <col min="2" max="2" width="69.33203125" style="42" customWidth="1"/>
    <col min="3" max="3" width="25.83203125" style="42" bestFit="1" customWidth="1"/>
    <col min="4" max="4" width="9.1640625" style="42" customWidth="1"/>
    <col min="5" max="16384" width="9.1640625" style="42"/>
  </cols>
  <sheetData>
    <row r="1" spans="1:3">
      <c r="A1" s="43" t="s">
        <v>0</v>
      </c>
      <c r="B1" s="44"/>
    </row>
    <row r="2" spans="1:3">
      <c r="A2" s="45" t="s">
        <v>1</v>
      </c>
      <c r="B2" s="46" t="s">
        <v>2</v>
      </c>
    </row>
    <row r="3" spans="1:3">
      <c r="A3" s="47" t="s">
        <v>3</v>
      </c>
      <c r="B3" s="48" t="s">
        <v>4</v>
      </c>
    </row>
    <row r="4" spans="1:3">
      <c r="A4" s="47" t="s">
        <v>5</v>
      </c>
      <c r="B4" s="48" t="s">
        <v>6</v>
      </c>
    </row>
    <row r="5" spans="1:3">
      <c r="A5" s="49" t="s">
        <v>7</v>
      </c>
      <c r="B5" s="50" t="s">
        <v>8</v>
      </c>
    </row>
    <row r="6" spans="1:3">
      <c r="A6" s="44"/>
      <c r="B6" s="51"/>
    </row>
    <row r="7" spans="1:3">
      <c r="A7" s="43" t="s">
        <v>9</v>
      </c>
    </row>
    <row r="8" spans="1:3" ht="15" customHeight="1">
      <c r="A8" s="52" t="s">
        <v>10</v>
      </c>
      <c r="B8" s="53" t="s">
        <v>11</v>
      </c>
      <c r="C8" s="54"/>
    </row>
    <row r="9" spans="1:3" ht="14.25" customHeight="1">
      <c r="A9" s="55" t="s">
        <v>12</v>
      </c>
      <c r="B9" s="56" t="s">
        <v>13</v>
      </c>
    </row>
    <row r="10" spans="1:3" ht="14.25" customHeight="1">
      <c r="A10" s="55" t="s">
        <v>14</v>
      </c>
      <c r="B10" s="75" t="s">
        <v>15</v>
      </c>
    </row>
    <row r="11" spans="1:3" ht="14.25" customHeight="1">
      <c r="A11" s="55" t="s">
        <v>16</v>
      </c>
      <c r="B11" s="56" t="s">
        <v>17</v>
      </c>
    </row>
    <row r="12" spans="1:3">
      <c r="A12" s="55" t="s">
        <v>18</v>
      </c>
      <c r="B12" s="56" t="s">
        <v>19</v>
      </c>
    </row>
    <row r="13" spans="1:3" ht="15" customHeight="1">
      <c r="A13" s="55" t="s">
        <v>20</v>
      </c>
      <c r="B13" s="56" t="s">
        <v>21</v>
      </c>
    </row>
    <row r="14" spans="1:3">
      <c r="A14" s="57" t="s">
        <v>22</v>
      </c>
      <c r="B14" s="58" t="s">
        <v>23</v>
      </c>
      <c r="C14" s="54"/>
    </row>
    <row r="15" spans="1:3">
      <c r="A15" s="59"/>
      <c r="B15" s="60"/>
    </row>
    <row r="16" spans="1:3">
      <c r="A16" s="43" t="s">
        <v>24</v>
      </c>
      <c r="B16" s="51"/>
    </row>
    <row r="17" spans="1:3">
      <c r="A17" s="61" t="s">
        <v>25</v>
      </c>
      <c r="B17" s="53" t="s">
        <v>26</v>
      </c>
    </row>
    <row r="18" spans="1:3">
      <c r="A18" s="62" t="s">
        <v>27</v>
      </c>
      <c r="B18" s="48" t="s">
        <v>28</v>
      </c>
      <c r="C18" s="59" t="s">
        <v>29</v>
      </c>
    </row>
    <row r="19" spans="1:3">
      <c r="A19" s="62" t="s">
        <v>30</v>
      </c>
      <c r="B19" s="48" t="s">
        <v>31</v>
      </c>
      <c r="C19" s="59" t="s">
        <v>29</v>
      </c>
    </row>
    <row r="20" spans="1:3">
      <c r="A20" s="62" t="s">
        <v>32</v>
      </c>
      <c r="B20" s="48" t="s">
        <v>33</v>
      </c>
      <c r="C20" s="59" t="s">
        <v>29</v>
      </c>
    </row>
    <row r="21" spans="1:3">
      <c r="A21" s="62" t="s">
        <v>34</v>
      </c>
      <c r="B21" s="48" t="s">
        <v>35</v>
      </c>
    </row>
    <row r="22" spans="1:3">
      <c r="A22" s="62" t="s">
        <v>36</v>
      </c>
      <c r="B22" s="48" t="s">
        <v>37</v>
      </c>
    </row>
    <row r="23" spans="1:3">
      <c r="A23" s="63" t="s">
        <v>38</v>
      </c>
      <c r="B23" s="50" t="s">
        <v>39</v>
      </c>
    </row>
    <row r="24" spans="1:3">
      <c r="A24" s="64" t="s">
        <v>40</v>
      </c>
      <c r="B24" s="53" t="s">
        <v>41</v>
      </c>
    </row>
    <row r="25" spans="1:3">
      <c r="A25" s="65" t="s">
        <v>34</v>
      </c>
      <c r="B25" s="48" t="s">
        <v>42</v>
      </c>
    </row>
    <row r="26" spans="1:3">
      <c r="A26" s="65" t="s">
        <v>36</v>
      </c>
      <c r="B26" s="48" t="s">
        <v>43</v>
      </c>
    </row>
    <row r="27" spans="1:3">
      <c r="A27" s="66" t="s">
        <v>38</v>
      </c>
      <c r="B27" s="50" t="s">
        <v>44</v>
      </c>
    </row>
    <row r="28" spans="1:3">
      <c r="A28" s="67" t="s">
        <v>45</v>
      </c>
      <c r="B28" s="68" t="s">
        <v>46</v>
      </c>
    </row>
    <row r="29" spans="1:3">
      <c r="A29" s="69" t="s">
        <v>34</v>
      </c>
      <c r="B29" s="48" t="s">
        <v>42</v>
      </c>
    </row>
    <row r="30" spans="1:3">
      <c r="A30" s="69" t="s">
        <v>36</v>
      </c>
      <c r="B30" s="48" t="s">
        <v>43</v>
      </c>
    </row>
    <row r="31" spans="1:3">
      <c r="A31" s="70" t="s">
        <v>38</v>
      </c>
      <c r="B31" s="50" t="s">
        <v>44</v>
      </c>
    </row>
    <row r="33" spans="1:2">
      <c r="A33" s="43" t="s">
        <v>47</v>
      </c>
    </row>
    <row r="34" spans="1:2">
      <c r="A34" s="71" t="s">
        <v>48</v>
      </c>
      <c r="B34" s="72" t="s">
        <v>49</v>
      </c>
    </row>
    <row r="35" spans="1:2">
      <c r="A35" s="73" t="s">
        <v>50</v>
      </c>
      <c r="B35" s="8" t="s">
        <v>51</v>
      </c>
    </row>
    <row r="36" spans="1:2">
      <c r="A36" s="73" t="s">
        <v>52</v>
      </c>
      <c r="B36" s="8" t="s">
        <v>51</v>
      </c>
    </row>
    <row r="37" spans="1:2">
      <c r="A37" s="73" t="s">
        <v>53</v>
      </c>
      <c r="B37" s="8" t="s">
        <v>51</v>
      </c>
    </row>
    <row r="38" spans="1:2">
      <c r="A38" s="73" t="s">
        <v>54</v>
      </c>
      <c r="B38" s="8" t="s">
        <v>51</v>
      </c>
    </row>
    <row r="39" spans="1:2">
      <c r="A39" s="74" t="s">
        <v>55</v>
      </c>
      <c r="B39" s="9" t="s">
        <v>51</v>
      </c>
    </row>
  </sheetData>
  <hyperlinks>
    <hyperlink ref="B34" r:id="rId1" xr:uid="{00000000-0004-0000-0000-000000000000}"/>
    <hyperlink ref="B35" r:id="rId2" xr:uid="{00000000-0004-0000-0000-000001000000}"/>
    <hyperlink ref="B36" r:id="rId3" xr:uid="{00000000-0004-0000-0000-000002000000}"/>
    <hyperlink ref="B37" r:id="rId4" xr:uid="{00000000-0004-0000-0000-000003000000}"/>
    <hyperlink ref="B38" r:id="rId5" xr:uid="{00000000-0004-0000-0000-000004000000}"/>
    <hyperlink ref="B39" r:id="rId6" xr:uid="{00000000-0004-0000-0000-000005000000}"/>
  </hyperlink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B7DD-2A95-4A35-8E21-A80FD11FA7E5}">
  <sheetPr>
    <tabColor rgb="FFFFFF00"/>
  </sheetPr>
  <dimension ref="A1:I26"/>
  <sheetViews>
    <sheetView zoomScaleNormal="100" workbookViewId="0">
      <selection activeCell="F32" sqref="F32"/>
    </sheetView>
  </sheetViews>
  <sheetFormatPr baseColWidth="10" defaultColWidth="8.83203125" defaultRowHeight="15"/>
  <cols>
    <col min="1" max="1" width="25.5" bestFit="1" customWidth="1"/>
    <col min="2" max="3" width="40" customWidth="1"/>
    <col min="4" max="4" width="10" customWidth="1"/>
    <col min="5" max="6" width="11.83203125" customWidth="1"/>
    <col min="7" max="7" width="18.33203125" bestFit="1" customWidth="1"/>
    <col min="8" max="9" width="24.33203125" bestFit="1" customWidth="1"/>
    <col min="10" max="10" width="21.1640625" bestFit="1" customWidth="1"/>
    <col min="11" max="11" width="24.33203125" bestFit="1" customWidth="1"/>
    <col min="12" max="12" width="21.1640625" bestFit="1" customWidth="1"/>
  </cols>
  <sheetData>
    <row r="1" spans="1:8" ht="16" thickBot="1">
      <c r="A1" s="6"/>
      <c r="B1" s="202" t="s">
        <v>56</v>
      </c>
      <c r="C1" s="202"/>
    </row>
    <row r="2" spans="1:8" ht="16" thickBot="1">
      <c r="B2" s="4" t="s">
        <v>57</v>
      </c>
      <c r="C2" s="5" t="s">
        <v>58</v>
      </c>
    </row>
    <row r="3" spans="1:8">
      <c r="A3" s="7" t="s">
        <v>59</v>
      </c>
      <c r="B3" s="25" t="s">
        <v>60</v>
      </c>
      <c r="C3" s="26" t="s">
        <v>60</v>
      </c>
    </row>
    <row r="4" spans="1:8" ht="16" thickBot="1">
      <c r="A4" s="1" t="s">
        <v>61</v>
      </c>
      <c r="B4" s="27" t="s">
        <v>28</v>
      </c>
      <c r="C4" s="28" t="s">
        <v>28</v>
      </c>
    </row>
    <row r="5" spans="1:8" ht="15" customHeight="1" thickBot="1">
      <c r="A5" s="1" t="s">
        <v>62</v>
      </c>
      <c r="B5" s="27" t="s">
        <v>63</v>
      </c>
      <c r="C5" s="28" t="s">
        <v>31</v>
      </c>
      <c r="D5" s="29" t="s">
        <v>64</v>
      </c>
      <c r="E5" s="10"/>
      <c r="F5" s="10"/>
      <c r="G5" s="10"/>
      <c r="H5" s="10"/>
    </row>
    <row r="6" spans="1:8" ht="15.75" customHeight="1" thickBot="1">
      <c r="A6" s="1" t="s">
        <v>65</v>
      </c>
      <c r="B6" s="27" t="s">
        <v>66</v>
      </c>
      <c r="C6" s="28" t="s">
        <v>33</v>
      </c>
      <c r="D6" s="29" t="s">
        <v>64</v>
      </c>
      <c r="E6" s="10"/>
      <c r="F6" s="10"/>
      <c r="G6" s="10"/>
      <c r="H6" s="10"/>
    </row>
    <row r="7" spans="1:8">
      <c r="A7" s="1" t="s">
        <v>67</v>
      </c>
      <c r="B7" s="27" t="s">
        <v>68</v>
      </c>
      <c r="C7" s="28" t="s">
        <v>68</v>
      </c>
    </row>
    <row r="8" spans="1:8">
      <c r="A8" s="1" t="s">
        <v>69</v>
      </c>
      <c r="B8" s="27" t="s">
        <v>70</v>
      </c>
      <c r="C8" s="28" t="s">
        <v>70</v>
      </c>
    </row>
    <row r="9" spans="1:8">
      <c r="A9" s="1" t="s">
        <v>71</v>
      </c>
      <c r="B9" s="30" t="s">
        <v>72</v>
      </c>
      <c r="C9" s="31" t="s">
        <v>72</v>
      </c>
    </row>
    <row r="10" spans="1:8">
      <c r="A10" s="1" t="s">
        <v>73</v>
      </c>
      <c r="B10" s="32" t="s">
        <v>74</v>
      </c>
      <c r="C10" s="18" t="s">
        <v>75</v>
      </c>
    </row>
    <row r="11" spans="1:8">
      <c r="A11" s="1" t="s">
        <v>76</v>
      </c>
      <c r="B11" s="33" t="s">
        <v>77</v>
      </c>
      <c r="C11" s="19" t="s">
        <v>77</v>
      </c>
    </row>
    <row r="12" spans="1:8">
      <c r="A12" s="1" t="s">
        <v>78</v>
      </c>
      <c r="B12" s="32" t="s">
        <v>79</v>
      </c>
      <c r="C12" s="18" t="s">
        <v>80</v>
      </c>
    </row>
    <row r="13" spans="1:8">
      <c r="A13" s="1" t="s">
        <v>81</v>
      </c>
      <c r="B13" s="33" t="s">
        <v>82</v>
      </c>
      <c r="C13" s="19" t="s">
        <v>82</v>
      </c>
    </row>
    <row r="14" spans="1:8">
      <c r="A14" s="1" t="s">
        <v>83</v>
      </c>
      <c r="B14" s="32" t="s">
        <v>84</v>
      </c>
      <c r="C14" s="18" t="s">
        <v>85</v>
      </c>
      <c r="G14" s="17"/>
    </row>
    <row r="15" spans="1:8" ht="16" thickBot="1">
      <c r="A15" s="2" t="s">
        <v>86</v>
      </c>
      <c r="B15" s="34" t="s">
        <v>87</v>
      </c>
      <c r="C15" s="20" t="s">
        <v>88</v>
      </c>
    </row>
    <row r="16" spans="1:8" ht="16" thickBot="1">
      <c r="A16" s="3"/>
      <c r="B16" s="205" t="s">
        <v>89</v>
      </c>
      <c r="C16" s="206"/>
    </row>
    <row r="17" spans="1:9">
      <c r="A17" s="3"/>
      <c r="B17" s="35" t="s">
        <v>90</v>
      </c>
      <c r="C17" s="36" t="s">
        <v>90</v>
      </c>
    </row>
    <row r="18" spans="1:9">
      <c r="A18" s="3"/>
      <c r="B18" s="37" t="s">
        <v>91</v>
      </c>
      <c r="C18" s="38" t="s">
        <v>92</v>
      </c>
    </row>
    <row r="19" spans="1:9">
      <c r="A19" s="3"/>
      <c r="B19" s="37" t="s">
        <v>93</v>
      </c>
      <c r="C19" s="38" t="s">
        <v>94</v>
      </c>
      <c r="E19" s="15"/>
      <c r="F19" s="16"/>
      <c r="G19" s="15"/>
      <c r="H19" s="16"/>
    </row>
    <row r="20" spans="1:9">
      <c r="A20" s="3"/>
      <c r="B20" s="37" t="s">
        <v>95</v>
      </c>
      <c r="C20" s="38" t="s">
        <v>96</v>
      </c>
    </row>
    <row r="21" spans="1:9">
      <c r="A21" s="3"/>
      <c r="B21" s="37" t="s">
        <v>97</v>
      </c>
      <c r="C21" s="38" t="s">
        <v>97</v>
      </c>
    </row>
    <row r="22" spans="1:9" ht="16" thickBot="1">
      <c r="A22" s="3"/>
      <c r="B22" s="39" t="s">
        <v>98</v>
      </c>
      <c r="C22" s="40" t="s">
        <v>99</v>
      </c>
    </row>
    <row r="23" spans="1:9" ht="16" thickBot="1">
      <c r="F23" s="23"/>
      <c r="G23" s="22"/>
      <c r="H23" s="22"/>
      <c r="I23" s="22"/>
    </row>
    <row r="24" spans="1:9" ht="16" thickBot="1">
      <c r="B24" s="203" t="s">
        <v>100</v>
      </c>
      <c r="C24" s="204"/>
      <c r="F24" s="21"/>
      <c r="G24" s="21"/>
      <c r="H24" s="21"/>
      <c r="I24" s="21"/>
    </row>
    <row r="25" spans="1:9" ht="16" thickBot="1">
      <c r="B25" s="4" t="s">
        <v>57</v>
      </c>
      <c r="C25" s="5" t="s">
        <v>58</v>
      </c>
      <c r="F25" s="24"/>
      <c r="G25" s="22"/>
      <c r="H25" s="24"/>
      <c r="I25" s="22"/>
    </row>
    <row r="26" spans="1:9" ht="16" thickBot="1">
      <c r="B26" s="41" t="s">
        <v>101</v>
      </c>
      <c r="C26" s="41" t="s">
        <v>101</v>
      </c>
    </row>
  </sheetData>
  <mergeCells count="3">
    <mergeCell ref="B1:C1"/>
    <mergeCell ref="B24:C24"/>
    <mergeCell ref="B16:C16"/>
  </mergeCells>
  <phoneticPr fontId="8" type="noConversion"/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D6F1-5BC4-4B6A-95B5-D903E3912CB2}">
  <sheetPr>
    <tabColor rgb="FFFFFF00"/>
  </sheetPr>
  <dimension ref="A1:H10"/>
  <sheetViews>
    <sheetView zoomScale="110" zoomScaleNormal="100" workbookViewId="0">
      <selection activeCell="L16" sqref="L16"/>
    </sheetView>
  </sheetViews>
  <sheetFormatPr baseColWidth="10" defaultColWidth="8.83203125" defaultRowHeight="15"/>
  <cols>
    <col min="1" max="1" width="12.33203125" customWidth="1"/>
    <col min="2" max="2" width="13.33203125" customWidth="1"/>
    <col min="3" max="3" width="12.5" bestFit="1" customWidth="1"/>
    <col min="4" max="4" width="18.33203125" customWidth="1"/>
    <col min="5" max="5" width="17.83203125" bestFit="1" customWidth="1"/>
    <col min="6" max="6" width="17.83203125" customWidth="1"/>
    <col min="7" max="7" width="22" customWidth="1"/>
    <col min="8" max="8" width="17.83203125" customWidth="1"/>
    <col min="9" max="9" width="9.1640625" customWidth="1"/>
    <col min="10" max="10" width="8.83203125" customWidth="1"/>
  </cols>
  <sheetData>
    <row r="1" spans="1:8" ht="37.5" customHeight="1" thickBot="1">
      <c r="A1" s="163" t="s">
        <v>556</v>
      </c>
      <c r="B1" s="170" t="s">
        <v>102</v>
      </c>
      <c r="C1" s="171" t="s">
        <v>103</v>
      </c>
      <c r="D1" s="171" t="s">
        <v>104</v>
      </c>
      <c r="E1" s="171" t="s">
        <v>105</v>
      </c>
      <c r="F1" s="171" t="s">
        <v>106</v>
      </c>
      <c r="G1" s="171" t="s">
        <v>107</v>
      </c>
      <c r="H1" s="172" t="s">
        <v>108</v>
      </c>
    </row>
    <row r="2" spans="1:8" ht="16" thickBot="1">
      <c r="A2" s="159" t="s">
        <v>109</v>
      </c>
      <c r="B2" s="161" t="s">
        <v>110</v>
      </c>
      <c r="C2" s="165" t="s">
        <v>111</v>
      </c>
      <c r="D2" s="166">
        <v>37055.699999999997</v>
      </c>
      <c r="E2" s="166">
        <v>33197.199999999997</v>
      </c>
      <c r="F2" s="167">
        <v>3858.5</v>
      </c>
      <c r="G2" s="168" t="s">
        <v>112</v>
      </c>
      <c r="H2" s="173" t="s">
        <v>113</v>
      </c>
    </row>
    <row r="3" spans="1:8" ht="16" thickBot="1">
      <c r="A3" s="159" t="s">
        <v>109</v>
      </c>
      <c r="B3" s="161" t="s">
        <v>110</v>
      </c>
      <c r="C3" s="165" t="s">
        <v>114</v>
      </c>
      <c r="D3" s="166">
        <v>37438.300000000003</v>
      </c>
      <c r="E3" s="166">
        <v>37037.599999999999</v>
      </c>
      <c r="F3" s="169">
        <v>400.7</v>
      </c>
      <c r="G3" s="168" t="s">
        <v>112</v>
      </c>
      <c r="H3" s="173" t="s">
        <v>115</v>
      </c>
    </row>
    <row r="4" spans="1:8" ht="16" thickBot="1">
      <c r="A4" s="159" t="s">
        <v>109</v>
      </c>
      <c r="B4" s="161" t="s">
        <v>116</v>
      </c>
      <c r="C4" s="165" t="s">
        <v>117</v>
      </c>
      <c r="D4" s="166">
        <v>37645.1</v>
      </c>
      <c r="E4" s="166">
        <v>37650</v>
      </c>
      <c r="F4" s="169">
        <v>-4.9000000000000004</v>
      </c>
      <c r="G4" s="168" t="s">
        <v>118</v>
      </c>
      <c r="H4" s="173" t="s">
        <v>119</v>
      </c>
    </row>
    <row r="5" spans="1:8" ht="16" thickBot="1">
      <c r="A5" s="159" t="s">
        <v>109</v>
      </c>
      <c r="B5" s="161" t="s">
        <v>116</v>
      </c>
      <c r="C5" s="165" t="s">
        <v>120</v>
      </c>
      <c r="D5" s="166">
        <v>37694.199999999997</v>
      </c>
      <c r="E5" s="166">
        <v>37393.699999999997</v>
      </c>
      <c r="F5" s="167">
        <v>300.5</v>
      </c>
      <c r="G5" s="168" t="s">
        <v>112</v>
      </c>
      <c r="H5" s="173" t="s">
        <v>115</v>
      </c>
    </row>
    <row r="6" spans="1:8" ht="16" thickBot="1">
      <c r="A6" s="160" t="s">
        <v>121</v>
      </c>
      <c r="B6" s="161" t="s">
        <v>110</v>
      </c>
      <c r="C6" s="165" t="s">
        <v>122</v>
      </c>
      <c r="D6" s="166">
        <v>37112.699999999997</v>
      </c>
      <c r="E6" s="166">
        <v>37012.6</v>
      </c>
      <c r="F6" s="167">
        <v>100.1</v>
      </c>
      <c r="G6" s="168" t="s">
        <v>112</v>
      </c>
      <c r="H6" s="173" t="s">
        <v>123</v>
      </c>
    </row>
    <row r="7" spans="1:8" ht="16" thickBot="1">
      <c r="A7" s="160" t="s">
        <v>121</v>
      </c>
      <c r="B7" s="161" t="s">
        <v>110</v>
      </c>
      <c r="C7" s="165" t="s">
        <v>124</v>
      </c>
      <c r="D7" s="166">
        <v>37472.400000000001</v>
      </c>
      <c r="E7" s="166">
        <v>37476.1</v>
      </c>
      <c r="F7" s="167">
        <v>-3.7</v>
      </c>
      <c r="G7" s="168" t="s">
        <v>118</v>
      </c>
      <c r="H7" s="173" t="s">
        <v>119</v>
      </c>
    </row>
    <row r="8" spans="1:8" ht="16" thickBot="1">
      <c r="A8" s="160" t="s">
        <v>121</v>
      </c>
      <c r="B8" s="161" t="s">
        <v>125</v>
      </c>
      <c r="C8" s="165" t="s">
        <v>126</v>
      </c>
      <c r="D8" s="166">
        <v>37668.5</v>
      </c>
      <c r="E8" s="166">
        <v>37518.5</v>
      </c>
      <c r="F8" s="167">
        <v>150</v>
      </c>
      <c r="G8" s="168" t="s">
        <v>112</v>
      </c>
      <c r="H8" s="173" t="s">
        <v>113</v>
      </c>
    </row>
    <row r="9" spans="1:8" ht="16" thickBot="1">
      <c r="A9" s="160" t="s">
        <v>121</v>
      </c>
      <c r="B9" s="161" t="s">
        <v>127</v>
      </c>
      <c r="C9" s="165" t="s">
        <v>128</v>
      </c>
      <c r="D9" s="166">
        <v>37442.1</v>
      </c>
      <c r="E9" s="166">
        <v>37341.1</v>
      </c>
      <c r="F9" s="167">
        <v>101</v>
      </c>
      <c r="G9" s="168" t="s">
        <v>112</v>
      </c>
      <c r="H9" s="173" t="s">
        <v>123</v>
      </c>
    </row>
    <row r="10" spans="1:8" ht="16" thickBot="1">
      <c r="A10" s="160" t="s">
        <v>121</v>
      </c>
      <c r="B10" s="162" t="s">
        <v>129</v>
      </c>
      <c r="C10" s="174" t="s">
        <v>130</v>
      </c>
      <c r="D10" s="175">
        <v>37760.6</v>
      </c>
      <c r="E10" s="175">
        <v>37160.199999999997</v>
      </c>
      <c r="F10" s="176">
        <v>600.4</v>
      </c>
      <c r="G10" s="177" t="s">
        <v>112</v>
      </c>
      <c r="H10" s="178" t="s">
        <v>115</v>
      </c>
    </row>
  </sheetData>
  <phoneticPr fontId="8" type="noConversion"/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039C-7FBF-4C31-A9DA-CCB89B96147C}">
  <sheetPr>
    <tabColor rgb="FFFFFF00"/>
  </sheetPr>
  <dimension ref="A1:N81"/>
  <sheetViews>
    <sheetView topLeftCell="B7" zoomScaleNormal="100" workbookViewId="0">
      <selection activeCell="K19" sqref="K18:K19"/>
    </sheetView>
  </sheetViews>
  <sheetFormatPr baseColWidth="10" defaultColWidth="8.83203125" defaultRowHeight="15"/>
  <cols>
    <col min="1" max="1" width="42.1640625" bestFit="1" customWidth="1"/>
    <col min="2" max="2" width="19.1640625" bestFit="1" customWidth="1"/>
    <col min="3" max="3" width="21.6640625" bestFit="1" customWidth="1"/>
    <col min="4" max="4" width="39.6640625" bestFit="1" customWidth="1"/>
    <col min="5" max="5" width="21.5" bestFit="1" customWidth="1"/>
    <col min="6" max="6" width="10.5" bestFit="1" customWidth="1"/>
    <col min="7" max="7" width="22.1640625" bestFit="1" customWidth="1"/>
    <col min="8" max="8" width="18.33203125" bestFit="1" customWidth="1"/>
    <col min="9" max="9" width="14.1640625" bestFit="1" customWidth="1"/>
    <col min="10" max="10" width="43.5" bestFit="1" customWidth="1"/>
    <col min="11" max="11" width="22.1640625" bestFit="1" customWidth="1"/>
    <col min="12" max="13" width="8.6640625" bestFit="1" customWidth="1"/>
    <col min="14" max="14" width="20.33203125" bestFit="1" customWidth="1"/>
  </cols>
  <sheetData>
    <row r="1" spans="1:14">
      <c r="A1" t="s">
        <v>131</v>
      </c>
      <c r="G1" t="s">
        <v>132</v>
      </c>
    </row>
    <row r="2" spans="1:14">
      <c r="A2" t="s">
        <v>133</v>
      </c>
      <c r="G2" t="s">
        <v>134</v>
      </c>
      <c r="K2" t="s">
        <v>135</v>
      </c>
    </row>
    <row r="3" spans="1:14">
      <c r="A3" t="s">
        <v>136</v>
      </c>
      <c r="B3" t="s">
        <v>137</v>
      </c>
      <c r="C3" t="s">
        <v>138</v>
      </c>
      <c r="D3" t="s">
        <v>139</v>
      </c>
      <c r="E3" t="s">
        <v>140</v>
      </c>
      <c r="H3" t="s">
        <v>141</v>
      </c>
      <c r="I3" t="s">
        <v>142</v>
      </c>
      <c r="J3" t="s">
        <v>143</v>
      </c>
      <c r="K3" t="s">
        <v>144</v>
      </c>
      <c r="L3" t="s">
        <v>143</v>
      </c>
      <c r="M3" t="s">
        <v>143</v>
      </c>
      <c r="N3" t="s">
        <v>145</v>
      </c>
    </row>
    <row r="4" spans="1:14">
      <c r="A4" t="s">
        <v>146</v>
      </c>
    </row>
    <row r="5" spans="1:14">
      <c r="A5" t="s">
        <v>147</v>
      </c>
      <c r="B5" t="s">
        <v>148</v>
      </c>
      <c r="C5" s="11" t="s">
        <v>149</v>
      </c>
      <c r="D5" t="s">
        <v>148</v>
      </c>
      <c r="E5">
        <v>802598</v>
      </c>
      <c r="F5" t="s">
        <v>150</v>
      </c>
      <c r="G5" t="s">
        <v>150</v>
      </c>
      <c r="H5" t="s">
        <v>151</v>
      </c>
      <c r="I5" s="12">
        <v>46107</v>
      </c>
      <c r="J5" t="s">
        <v>152</v>
      </c>
      <c r="K5" t="s">
        <v>150</v>
      </c>
      <c r="L5" t="s">
        <v>150</v>
      </c>
    </row>
    <row r="6" spans="1:14">
      <c r="A6" t="s">
        <v>153</v>
      </c>
      <c r="B6" t="s">
        <v>148</v>
      </c>
      <c r="C6" s="11" t="s">
        <v>154</v>
      </c>
      <c r="D6" t="s">
        <v>148</v>
      </c>
      <c r="E6">
        <v>802624</v>
      </c>
      <c r="F6" t="s">
        <v>150</v>
      </c>
      <c r="G6" t="s">
        <v>150</v>
      </c>
      <c r="H6" t="s">
        <v>151</v>
      </c>
      <c r="I6" s="12">
        <v>46107</v>
      </c>
      <c r="J6" t="s">
        <v>152</v>
      </c>
      <c r="K6" t="s">
        <v>150</v>
      </c>
      <c r="L6" t="s">
        <v>150</v>
      </c>
    </row>
    <row r="7" spans="1:14">
      <c r="A7" t="s">
        <v>155</v>
      </c>
      <c r="B7" t="s">
        <v>148</v>
      </c>
      <c r="C7" s="11" t="s">
        <v>156</v>
      </c>
      <c r="D7" t="s">
        <v>148</v>
      </c>
      <c r="E7">
        <v>802685</v>
      </c>
      <c r="F7" t="s">
        <v>150</v>
      </c>
      <c r="G7" t="s">
        <v>150</v>
      </c>
      <c r="H7" t="s">
        <v>151</v>
      </c>
      <c r="I7" s="12">
        <v>46107</v>
      </c>
      <c r="J7" t="s">
        <v>152</v>
      </c>
      <c r="K7" t="s">
        <v>150</v>
      </c>
      <c r="L7" t="s">
        <v>150</v>
      </c>
    </row>
    <row r="8" spans="1:14">
      <c r="A8" t="s">
        <v>157</v>
      </c>
      <c r="B8" t="s">
        <v>148</v>
      </c>
      <c r="C8" s="11" t="s">
        <v>158</v>
      </c>
      <c r="D8" t="s">
        <v>148</v>
      </c>
      <c r="E8">
        <v>110012274</v>
      </c>
      <c r="F8" t="s">
        <v>150</v>
      </c>
      <c r="G8" t="s">
        <v>150</v>
      </c>
      <c r="H8" t="s">
        <v>151</v>
      </c>
      <c r="I8" s="12">
        <v>46107</v>
      </c>
      <c r="J8" t="s">
        <v>152</v>
      </c>
      <c r="K8" t="s">
        <v>150</v>
      </c>
      <c r="L8" t="s">
        <v>150</v>
      </c>
    </row>
    <row r="9" spans="1:14">
      <c r="A9" t="s">
        <v>159</v>
      </c>
      <c r="B9" t="s">
        <v>160</v>
      </c>
      <c r="C9" s="11" t="s">
        <v>161</v>
      </c>
      <c r="D9" t="s">
        <v>162</v>
      </c>
      <c r="E9">
        <v>802069</v>
      </c>
      <c r="F9" t="s">
        <v>150</v>
      </c>
      <c r="G9" t="s">
        <v>150</v>
      </c>
      <c r="H9" t="s">
        <v>151</v>
      </c>
      <c r="I9" s="12" t="s">
        <v>163</v>
      </c>
      <c r="J9" t="s">
        <v>152</v>
      </c>
      <c r="K9" t="s">
        <v>150</v>
      </c>
      <c r="L9" t="s">
        <v>150</v>
      </c>
    </row>
    <row r="10" spans="1:14">
      <c r="A10" t="s">
        <v>164</v>
      </c>
      <c r="B10" t="s">
        <v>160</v>
      </c>
      <c r="C10" s="11" t="s">
        <v>161</v>
      </c>
      <c r="D10" t="s">
        <v>162</v>
      </c>
      <c r="E10">
        <v>802069</v>
      </c>
      <c r="F10" t="s">
        <v>150</v>
      </c>
      <c r="G10" t="s">
        <v>150</v>
      </c>
      <c r="H10" t="s">
        <v>151</v>
      </c>
      <c r="I10" s="12">
        <v>46174</v>
      </c>
      <c r="J10" t="s">
        <v>152</v>
      </c>
      <c r="K10" t="s">
        <v>150</v>
      </c>
      <c r="L10" t="s">
        <v>150</v>
      </c>
    </row>
    <row r="11" spans="1:14">
      <c r="A11" t="s">
        <v>165</v>
      </c>
      <c r="B11" t="s">
        <v>160</v>
      </c>
      <c r="C11" s="11" t="s">
        <v>166</v>
      </c>
      <c r="D11" t="s">
        <v>162</v>
      </c>
      <c r="E11">
        <v>807363</v>
      </c>
      <c r="F11" t="s">
        <v>150</v>
      </c>
      <c r="G11" t="s">
        <v>150</v>
      </c>
      <c r="H11" t="s">
        <v>151</v>
      </c>
      <c r="I11" s="12">
        <v>46138</v>
      </c>
      <c r="J11" t="s">
        <v>152</v>
      </c>
      <c r="K11" t="s">
        <v>150</v>
      </c>
      <c r="L11" t="s">
        <v>150</v>
      </c>
    </row>
    <row r="12" spans="1:14">
      <c r="A12" t="s">
        <v>167</v>
      </c>
      <c r="B12" t="s">
        <v>160</v>
      </c>
      <c r="C12" s="11" t="s">
        <v>168</v>
      </c>
      <c r="D12" t="s">
        <v>160</v>
      </c>
      <c r="E12">
        <v>839032</v>
      </c>
      <c r="F12" t="s">
        <v>150</v>
      </c>
      <c r="G12" t="s">
        <v>150</v>
      </c>
      <c r="H12" t="s">
        <v>151</v>
      </c>
      <c r="I12" s="12">
        <v>46023</v>
      </c>
      <c r="J12" t="s">
        <v>152</v>
      </c>
      <c r="K12" t="s">
        <v>150</v>
      </c>
      <c r="L12" t="s">
        <v>150</v>
      </c>
    </row>
    <row r="13" spans="1:14">
      <c r="A13" t="s">
        <v>169</v>
      </c>
      <c r="B13" t="s">
        <v>160</v>
      </c>
      <c r="C13" s="11" t="s">
        <v>170</v>
      </c>
      <c r="D13" t="s">
        <v>160</v>
      </c>
      <c r="E13">
        <v>847922</v>
      </c>
      <c r="F13" t="s">
        <v>150</v>
      </c>
      <c r="G13" t="s">
        <v>150</v>
      </c>
      <c r="H13" t="s">
        <v>171</v>
      </c>
      <c r="I13" s="12">
        <v>46167</v>
      </c>
      <c r="J13" t="s">
        <v>152</v>
      </c>
      <c r="K13" t="s">
        <v>150</v>
      </c>
      <c r="L13" t="s">
        <v>150</v>
      </c>
    </row>
    <row r="14" spans="1:14">
      <c r="A14" t="s">
        <v>172</v>
      </c>
      <c r="B14" t="s">
        <v>160</v>
      </c>
      <c r="C14" s="11" t="s">
        <v>173</v>
      </c>
      <c r="D14" t="s">
        <v>174</v>
      </c>
      <c r="E14">
        <v>803094</v>
      </c>
      <c r="F14" t="s">
        <v>150</v>
      </c>
      <c r="G14" t="s">
        <v>150</v>
      </c>
      <c r="H14" t="s">
        <v>171</v>
      </c>
      <c r="I14" s="12">
        <v>46023</v>
      </c>
      <c r="J14" t="s">
        <v>152</v>
      </c>
      <c r="K14" t="s">
        <v>150</v>
      </c>
      <c r="L14" t="s">
        <v>150</v>
      </c>
    </row>
    <row r="15" spans="1:14">
      <c r="A15" t="s">
        <v>175</v>
      </c>
      <c r="B15" t="s">
        <v>148</v>
      </c>
      <c r="C15" s="11" t="s">
        <v>176</v>
      </c>
      <c r="D15" t="s">
        <v>148</v>
      </c>
      <c r="E15">
        <v>110012284</v>
      </c>
      <c r="F15" t="s">
        <v>150</v>
      </c>
      <c r="G15" t="s">
        <v>150</v>
      </c>
      <c r="H15" t="s">
        <v>171</v>
      </c>
      <c r="I15" s="12">
        <v>46137</v>
      </c>
      <c r="J15" t="s">
        <v>152</v>
      </c>
      <c r="K15" t="s">
        <v>150</v>
      </c>
      <c r="L15" t="s">
        <v>150</v>
      </c>
    </row>
    <row r="16" spans="1:14">
      <c r="A16" t="s">
        <v>177</v>
      </c>
      <c r="B16" t="s">
        <v>148</v>
      </c>
      <c r="C16" s="11" t="s">
        <v>178</v>
      </c>
      <c r="D16" t="s">
        <v>148</v>
      </c>
      <c r="E16">
        <v>110012293</v>
      </c>
      <c r="F16" t="s">
        <v>150</v>
      </c>
      <c r="G16" t="s">
        <v>150</v>
      </c>
      <c r="H16" t="s">
        <v>171</v>
      </c>
      <c r="I16" s="12">
        <v>46137</v>
      </c>
      <c r="J16" t="s">
        <v>152</v>
      </c>
      <c r="K16" t="s">
        <v>150</v>
      </c>
      <c r="L16" t="s">
        <v>150</v>
      </c>
    </row>
    <row r="17" spans="1:14">
      <c r="A17" t="s">
        <v>179</v>
      </c>
    </row>
    <row r="18" spans="1:14">
      <c r="A18" s="11" t="s">
        <v>180</v>
      </c>
      <c r="B18" t="s">
        <v>181</v>
      </c>
      <c r="C18" s="11" t="s">
        <v>180</v>
      </c>
      <c r="D18" t="s">
        <v>182</v>
      </c>
      <c r="E18" s="11" t="s">
        <v>183</v>
      </c>
      <c r="F18" t="s">
        <v>150</v>
      </c>
      <c r="G18" t="s">
        <v>150</v>
      </c>
      <c r="H18" t="s">
        <v>171</v>
      </c>
      <c r="I18" t="s">
        <v>150</v>
      </c>
      <c r="J18" t="s">
        <v>150</v>
      </c>
      <c r="K18" s="12">
        <v>46174</v>
      </c>
      <c r="L18" t="s">
        <v>184</v>
      </c>
    </row>
    <row r="19" spans="1:14">
      <c r="A19" s="11" t="s">
        <v>185</v>
      </c>
      <c r="B19" t="s">
        <v>181</v>
      </c>
      <c r="C19" s="11" t="s">
        <v>185</v>
      </c>
      <c r="D19" t="s">
        <v>186</v>
      </c>
      <c r="E19" s="13">
        <v>20230000003912</v>
      </c>
      <c r="F19" t="s">
        <v>150</v>
      </c>
      <c r="G19" t="s">
        <v>150</v>
      </c>
      <c r="H19" t="s">
        <v>171</v>
      </c>
      <c r="I19" t="s">
        <v>150</v>
      </c>
      <c r="J19" t="s">
        <v>150</v>
      </c>
      <c r="K19" s="12">
        <v>46174</v>
      </c>
      <c r="L19" t="s">
        <v>184</v>
      </c>
    </row>
    <row r="20" spans="1:14">
      <c r="A20" s="11" t="s">
        <v>187</v>
      </c>
      <c r="B20" t="s">
        <v>181</v>
      </c>
      <c r="C20" s="11" t="s">
        <v>187</v>
      </c>
      <c r="D20" t="s">
        <v>188</v>
      </c>
      <c r="E20" t="s">
        <v>189</v>
      </c>
      <c r="F20" t="s">
        <v>150</v>
      </c>
      <c r="G20" t="s">
        <v>150</v>
      </c>
      <c r="H20" t="s">
        <v>190</v>
      </c>
      <c r="I20" t="s">
        <v>150</v>
      </c>
      <c r="J20" t="s">
        <v>150</v>
      </c>
      <c r="K20" s="12">
        <v>46174</v>
      </c>
      <c r="L20" t="s">
        <v>184</v>
      </c>
    </row>
    <row r="21" spans="1:14">
      <c r="A21" t="s">
        <v>191</v>
      </c>
      <c r="B21" t="s">
        <v>181</v>
      </c>
      <c r="C21" t="s">
        <v>191</v>
      </c>
      <c r="D21" t="s">
        <v>192</v>
      </c>
      <c r="E21" s="11" t="s">
        <v>193</v>
      </c>
      <c r="F21" t="s">
        <v>150</v>
      </c>
      <c r="G21" t="s">
        <v>150</v>
      </c>
      <c r="H21" t="s">
        <v>190</v>
      </c>
      <c r="I21" t="s">
        <v>150</v>
      </c>
      <c r="J21" t="s">
        <v>150</v>
      </c>
      <c r="K21" s="12">
        <v>46174</v>
      </c>
      <c r="L21" t="s">
        <v>184</v>
      </c>
    </row>
    <row r="22" spans="1:14">
      <c r="A22" s="11" t="s">
        <v>194</v>
      </c>
      <c r="B22" t="s">
        <v>195</v>
      </c>
      <c r="C22" s="11" t="s">
        <v>194</v>
      </c>
      <c r="D22" t="s">
        <v>196</v>
      </c>
      <c r="E22" t="s">
        <v>197</v>
      </c>
      <c r="F22" t="s">
        <v>150</v>
      </c>
      <c r="G22" t="s">
        <v>150</v>
      </c>
      <c r="H22" t="s">
        <v>171</v>
      </c>
      <c r="I22" t="s">
        <v>150</v>
      </c>
      <c r="J22" t="s">
        <v>150</v>
      </c>
      <c r="K22" s="12">
        <v>46113</v>
      </c>
      <c r="L22" t="s">
        <v>184</v>
      </c>
    </row>
    <row r="23" spans="1:14">
      <c r="A23" s="11" t="s">
        <v>198</v>
      </c>
      <c r="B23" t="s">
        <v>195</v>
      </c>
      <c r="C23" s="11" t="s">
        <v>199</v>
      </c>
      <c r="D23" t="s">
        <v>200</v>
      </c>
      <c r="E23" t="s">
        <v>201</v>
      </c>
      <c r="F23" t="s">
        <v>150</v>
      </c>
      <c r="G23" t="s">
        <v>150</v>
      </c>
      <c r="H23" t="s">
        <v>171</v>
      </c>
      <c r="I23" t="s">
        <v>150</v>
      </c>
      <c r="J23" t="s">
        <v>150</v>
      </c>
      <c r="K23" s="12">
        <v>46113</v>
      </c>
      <c r="L23" t="s">
        <v>184</v>
      </c>
    </row>
    <row r="24" spans="1:14">
      <c r="A24" s="11" t="s">
        <v>202</v>
      </c>
      <c r="B24" t="s">
        <v>195</v>
      </c>
      <c r="C24" s="11" t="s">
        <v>203</v>
      </c>
      <c r="D24" t="s">
        <v>204</v>
      </c>
      <c r="E24" t="s">
        <v>205</v>
      </c>
      <c r="F24" t="s">
        <v>150</v>
      </c>
      <c r="G24" t="s">
        <v>150</v>
      </c>
      <c r="H24" t="s">
        <v>190</v>
      </c>
      <c r="I24" t="s">
        <v>150</v>
      </c>
      <c r="J24" t="s">
        <v>150</v>
      </c>
      <c r="K24" s="12">
        <v>46113</v>
      </c>
      <c r="L24" t="s">
        <v>184</v>
      </c>
    </row>
    <row r="25" spans="1:14">
      <c r="A25" s="11" t="s">
        <v>206</v>
      </c>
      <c r="B25" t="s">
        <v>195</v>
      </c>
      <c r="C25" s="11" t="s">
        <v>207</v>
      </c>
      <c r="D25" t="s">
        <v>204</v>
      </c>
      <c r="E25" t="s">
        <v>208</v>
      </c>
      <c r="F25" t="s">
        <v>150</v>
      </c>
      <c r="G25" t="s">
        <v>150</v>
      </c>
      <c r="H25" t="s">
        <v>190</v>
      </c>
      <c r="I25" t="s">
        <v>150</v>
      </c>
      <c r="J25" t="s">
        <v>150</v>
      </c>
      <c r="K25" s="12">
        <v>46113</v>
      </c>
      <c r="L25" t="s">
        <v>184</v>
      </c>
    </row>
    <row r="26" spans="1:14">
      <c r="A26" t="s">
        <v>209</v>
      </c>
      <c r="B26" t="s">
        <v>210</v>
      </c>
      <c r="C26" s="11" t="s">
        <v>211</v>
      </c>
      <c r="D26" t="s">
        <v>212</v>
      </c>
      <c r="E26" t="s">
        <v>213</v>
      </c>
      <c r="H26" t="s">
        <v>171</v>
      </c>
      <c r="I26" s="12" t="s">
        <v>88</v>
      </c>
      <c r="J26" t="s">
        <v>214</v>
      </c>
      <c r="K26" t="s">
        <v>150</v>
      </c>
      <c r="L26" t="s">
        <v>150</v>
      </c>
    </row>
    <row r="27" spans="1:14">
      <c r="A27" t="s">
        <v>215</v>
      </c>
      <c r="B27" t="s">
        <v>210</v>
      </c>
      <c r="C27" s="11" t="s">
        <v>216</v>
      </c>
      <c r="D27" t="s">
        <v>212</v>
      </c>
      <c r="E27" t="s">
        <v>217</v>
      </c>
      <c r="H27" t="s">
        <v>171</v>
      </c>
      <c r="I27" s="12" t="s">
        <v>88</v>
      </c>
      <c r="K27" t="s">
        <v>150</v>
      </c>
      <c r="L27" t="s">
        <v>150</v>
      </c>
    </row>
    <row r="28" spans="1:14">
      <c r="A28" t="s">
        <v>218</v>
      </c>
      <c r="B28" t="s">
        <v>210</v>
      </c>
      <c r="C28" s="11" t="s">
        <v>219</v>
      </c>
      <c r="D28" t="s">
        <v>212</v>
      </c>
      <c r="E28" t="s">
        <v>220</v>
      </c>
      <c r="H28" t="s">
        <v>190</v>
      </c>
      <c r="I28" s="12" t="s">
        <v>88</v>
      </c>
      <c r="J28" t="s">
        <v>214</v>
      </c>
      <c r="K28" t="s">
        <v>150</v>
      </c>
      <c r="L28" t="s">
        <v>150</v>
      </c>
    </row>
    <row r="29" spans="1:14">
      <c r="A29" t="s">
        <v>221</v>
      </c>
      <c r="B29" t="s">
        <v>210</v>
      </c>
      <c r="C29" s="11" t="s">
        <v>222</v>
      </c>
      <c r="D29" t="s">
        <v>212</v>
      </c>
      <c r="E29" t="s">
        <v>223</v>
      </c>
      <c r="H29" t="s">
        <v>190</v>
      </c>
      <c r="I29" s="12" t="s">
        <v>88</v>
      </c>
      <c r="K29" t="s">
        <v>150</v>
      </c>
      <c r="L29" t="s">
        <v>150</v>
      </c>
    </row>
    <row r="30" spans="1:14">
      <c r="A30" t="s">
        <v>224</v>
      </c>
      <c r="M30" t="s">
        <v>184</v>
      </c>
      <c r="N30" s="11" t="s">
        <v>225</v>
      </c>
    </row>
    <row r="31" spans="1:14">
      <c r="A31" t="s">
        <v>226</v>
      </c>
      <c r="B31" t="s">
        <v>227</v>
      </c>
      <c r="C31" s="11" t="s">
        <v>228</v>
      </c>
      <c r="D31" t="s">
        <v>229</v>
      </c>
      <c r="E31" t="s">
        <v>230</v>
      </c>
      <c r="F31" t="s">
        <v>150</v>
      </c>
      <c r="G31" t="s">
        <v>150</v>
      </c>
      <c r="H31" t="s">
        <v>190</v>
      </c>
      <c r="I31" s="12">
        <v>46107</v>
      </c>
      <c r="J31" t="s">
        <v>231</v>
      </c>
      <c r="K31" t="s">
        <v>150</v>
      </c>
      <c r="L31" t="s">
        <v>150</v>
      </c>
    </row>
    <row r="32" spans="1:14">
      <c r="A32" t="s">
        <v>232</v>
      </c>
      <c r="B32" t="s">
        <v>227</v>
      </c>
      <c r="C32" s="11" t="s">
        <v>233</v>
      </c>
      <c r="D32" t="s">
        <v>234</v>
      </c>
      <c r="E32" t="s">
        <v>235</v>
      </c>
      <c r="F32" t="s">
        <v>150</v>
      </c>
      <c r="G32" t="s">
        <v>150</v>
      </c>
      <c r="H32" t="s">
        <v>190</v>
      </c>
      <c r="I32" s="12" t="s">
        <v>236</v>
      </c>
      <c r="J32" t="s">
        <v>231</v>
      </c>
      <c r="K32" t="s">
        <v>150</v>
      </c>
      <c r="L32" t="s">
        <v>150</v>
      </c>
    </row>
    <row r="33" spans="1:12">
      <c r="A33" t="s">
        <v>237</v>
      </c>
      <c r="B33" t="s">
        <v>227</v>
      </c>
      <c r="C33" s="11" t="s">
        <v>238</v>
      </c>
      <c r="D33" t="s">
        <v>234</v>
      </c>
      <c r="E33" t="s">
        <v>239</v>
      </c>
      <c r="F33" t="s">
        <v>150</v>
      </c>
      <c r="G33" t="s">
        <v>150</v>
      </c>
      <c r="H33" t="s">
        <v>190</v>
      </c>
      <c r="I33" s="12">
        <v>46053</v>
      </c>
      <c r="J33" t="s">
        <v>231</v>
      </c>
      <c r="K33" t="s">
        <v>150</v>
      </c>
      <c r="L33" t="s">
        <v>150</v>
      </c>
    </row>
    <row r="34" spans="1:12">
      <c r="A34" t="s">
        <v>240</v>
      </c>
      <c r="B34" t="s">
        <v>227</v>
      </c>
      <c r="C34" s="11" t="s">
        <v>241</v>
      </c>
      <c r="D34" t="s">
        <v>242</v>
      </c>
      <c r="E34" t="s">
        <v>243</v>
      </c>
      <c r="F34" t="s">
        <v>150</v>
      </c>
      <c r="G34" t="s">
        <v>150</v>
      </c>
      <c r="H34" t="s">
        <v>190</v>
      </c>
      <c r="I34" s="12">
        <v>46082</v>
      </c>
      <c r="J34" t="s">
        <v>231</v>
      </c>
      <c r="K34" t="s">
        <v>150</v>
      </c>
      <c r="L34" t="s">
        <v>150</v>
      </c>
    </row>
    <row r="35" spans="1:12">
      <c r="A35" t="s">
        <v>244</v>
      </c>
      <c r="B35" t="s">
        <v>227</v>
      </c>
      <c r="C35" s="11" t="s">
        <v>245</v>
      </c>
      <c r="D35" t="s">
        <v>242</v>
      </c>
      <c r="E35" t="s">
        <v>246</v>
      </c>
      <c r="F35" t="s">
        <v>150</v>
      </c>
      <c r="G35" t="s">
        <v>150</v>
      </c>
      <c r="H35" t="s">
        <v>190</v>
      </c>
      <c r="I35" s="12">
        <v>46082</v>
      </c>
      <c r="J35" t="s">
        <v>231</v>
      </c>
      <c r="K35" t="s">
        <v>150</v>
      </c>
      <c r="L35" t="s">
        <v>150</v>
      </c>
    </row>
    <row r="36" spans="1:12">
      <c r="A36" t="s">
        <v>247</v>
      </c>
      <c r="B36" t="s">
        <v>227</v>
      </c>
      <c r="C36" s="11" t="s">
        <v>248</v>
      </c>
      <c r="D36" t="s">
        <v>234</v>
      </c>
      <c r="E36" t="s">
        <v>249</v>
      </c>
      <c r="F36" t="s">
        <v>150</v>
      </c>
      <c r="G36" t="s">
        <v>150</v>
      </c>
      <c r="H36" t="s">
        <v>190</v>
      </c>
      <c r="I36" s="12">
        <v>46082</v>
      </c>
      <c r="J36" t="s">
        <v>231</v>
      </c>
      <c r="K36" t="s">
        <v>150</v>
      </c>
      <c r="L36" t="s">
        <v>150</v>
      </c>
    </row>
    <row r="37" spans="1:12">
      <c r="A37" t="s">
        <v>250</v>
      </c>
      <c r="B37" t="s">
        <v>227</v>
      </c>
      <c r="C37" s="11" t="s">
        <v>251</v>
      </c>
      <c r="D37" t="s">
        <v>234</v>
      </c>
      <c r="E37" t="s">
        <v>252</v>
      </c>
      <c r="F37" t="s">
        <v>150</v>
      </c>
      <c r="G37" t="s">
        <v>150</v>
      </c>
      <c r="H37" t="s">
        <v>190</v>
      </c>
      <c r="I37" s="12">
        <v>46082</v>
      </c>
      <c r="J37" t="s">
        <v>231</v>
      </c>
      <c r="K37" t="s">
        <v>150</v>
      </c>
      <c r="L37" t="s">
        <v>150</v>
      </c>
    </row>
    <row r="38" spans="1:12">
      <c r="A38" t="s">
        <v>253</v>
      </c>
      <c r="B38" t="s">
        <v>227</v>
      </c>
      <c r="C38" s="11" t="s">
        <v>254</v>
      </c>
      <c r="D38" t="s">
        <v>255</v>
      </c>
      <c r="E38" t="s">
        <v>256</v>
      </c>
      <c r="F38" t="s">
        <v>150</v>
      </c>
      <c r="G38" t="s">
        <v>150</v>
      </c>
      <c r="H38" t="s">
        <v>190</v>
      </c>
      <c r="I38" s="12">
        <v>46048</v>
      </c>
      <c r="J38" t="s">
        <v>231</v>
      </c>
      <c r="K38" t="s">
        <v>150</v>
      </c>
      <c r="L38" t="s">
        <v>150</v>
      </c>
    </row>
    <row r="39" spans="1:12">
      <c r="A39" t="s">
        <v>257</v>
      </c>
      <c r="B39" t="s">
        <v>227</v>
      </c>
      <c r="C39" s="11" t="s">
        <v>258</v>
      </c>
      <c r="D39" t="s">
        <v>229</v>
      </c>
      <c r="E39" t="s">
        <v>259</v>
      </c>
      <c r="F39" t="s">
        <v>150</v>
      </c>
      <c r="G39" t="s">
        <v>150</v>
      </c>
      <c r="H39" t="s">
        <v>190</v>
      </c>
      <c r="I39" s="12">
        <v>46078</v>
      </c>
      <c r="J39" t="s">
        <v>231</v>
      </c>
      <c r="K39" t="s">
        <v>150</v>
      </c>
      <c r="L39" t="s">
        <v>150</v>
      </c>
    </row>
    <row r="40" spans="1:12">
      <c r="A40" t="s">
        <v>260</v>
      </c>
      <c r="B40" t="s">
        <v>227</v>
      </c>
      <c r="C40" s="11" t="s">
        <v>261</v>
      </c>
      <c r="D40" t="s">
        <v>255</v>
      </c>
      <c r="E40" t="s">
        <v>262</v>
      </c>
      <c r="F40" t="s">
        <v>150</v>
      </c>
      <c r="G40" t="s">
        <v>150</v>
      </c>
      <c r="H40" t="s">
        <v>190</v>
      </c>
      <c r="I40" s="12" t="s">
        <v>263</v>
      </c>
      <c r="J40" t="s">
        <v>231</v>
      </c>
      <c r="K40" t="s">
        <v>150</v>
      </c>
      <c r="L40" t="s">
        <v>150</v>
      </c>
    </row>
    <row r="41" spans="1:12">
      <c r="A41" t="s">
        <v>264</v>
      </c>
      <c r="B41" t="s">
        <v>227</v>
      </c>
      <c r="C41" s="11" t="s">
        <v>265</v>
      </c>
      <c r="D41" t="s">
        <v>255</v>
      </c>
      <c r="E41" t="s">
        <v>266</v>
      </c>
      <c r="F41" t="s">
        <v>150</v>
      </c>
      <c r="G41" t="s">
        <v>150</v>
      </c>
      <c r="H41" t="s">
        <v>171</v>
      </c>
      <c r="I41" s="12">
        <v>46048</v>
      </c>
      <c r="J41" t="s">
        <v>231</v>
      </c>
      <c r="K41" t="s">
        <v>150</v>
      </c>
      <c r="L41" t="s">
        <v>150</v>
      </c>
    </row>
    <row r="42" spans="1:12">
      <c r="A42" t="s">
        <v>267</v>
      </c>
      <c r="B42" t="s">
        <v>227</v>
      </c>
      <c r="C42" s="11" t="s">
        <v>268</v>
      </c>
      <c r="D42" t="s">
        <v>255</v>
      </c>
      <c r="E42" t="s">
        <v>269</v>
      </c>
      <c r="F42" t="s">
        <v>150</v>
      </c>
      <c r="G42" t="s">
        <v>150</v>
      </c>
      <c r="H42" t="s">
        <v>171</v>
      </c>
      <c r="I42" s="12">
        <v>46048</v>
      </c>
      <c r="J42" t="s">
        <v>231</v>
      </c>
      <c r="K42" t="s">
        <v>150</v>
      </c>
      <c r="L42" t="s">
        <v>150</v>
      </c>
    </row>
    <row r="43" spans="1:12">
      <c r="A43" t="s">
        <v>270</v>
      </c>
      <c r="B43" t="s">
        <v>227</v>
      </c>
      <c r="C43" s="11" t="s">
        <v>271</v>
      </c>
      <c r="D43" t="s">
        <v>255</v>
      </c>
      <c r="E43" t="s">
        <v>272</v>
      </c>
      <c r="F43" t="s">
        <v>150</v>
      </c>
      <c r="G43" t="s">
        <v>150</v>
      </c>
      <c r="H43" t="s">
        <v>171</v>
      </c>
      <c r="I43" s="12">
        <v>46048</v>
      </c>
      <c r="J43" t="s">
        <v>231</v>
      </c>
      <c r="K43" t="s">
        <v>150</v>
      </c>
      <c r="L43" t="s">
        <v>150</v>
      </c>
    </row>
    <row r="44" spans="1:12">
      <c r="A44" t="s">
        <v>273</v>
      </c>
      <c r="B44" t="s">
        <v>227</v>
      </c>
      <c r="C44" s="11" t="s">
        <v>274</v>
      </c>
      <c r="D44" t="s">
        <v>229</v>
      </c>
      <c r="E44" t="s">
        <v>275</v>
      </c>
      <c r="F44" t="s">
        <v>150</v>
      </c>
      <c r="G44" t="s">
        <v>150</v>
      </c>
      <c r="H44" t="s">
        <v>171</v>
      </c>
      <c r="I44" s="12">
        <v>46079</v>
      </c>
      <c r="J44" t="s">
        <v>231</v>
      </c>
      <c r="K44" t="s">
        <v>150</v>
      </c>
      <c r="L44" t="s">
        <v>150</v>
      </c>
    </row>
    <row r="45" spans="1:12">
      <c r="A45" t="s">
        <v>276</v>
      </c>
      <c r="B45" t="s">
        <v>227</v>
      </c>
      <c r="C45" s="11" t="s">
        <v>277</v>
      </c>
      <c r="D45" t="s">
        <v>229</v>
      </c>
      <c r="E45" t="s">
        <v>278</v>
      </c>
      <c r="F45" t="s">
        <v>150</v>
      </c>
      <c r="G45" t="s">
        <v>150</v>
      </c>
      <c r="H45" t="s">
        <v>171</v>
      </c>
      <c r="I45" s="12">
        <v>46078</v>
      </c>
      <c r="J45" t="s">
        <v>231</v>
      </c>
      <c r="K45" t="s">
        <v>150</v>
      </c>
      <c r="L45" t="s">
        <v>150</v>
      </c>
    </row>
    <row r="46" spans="1:12">
      <c r="A46" t="s">
        <v>279</v>
      </c>
      <c r="B46" t="s">
        <v>280</v>
      </c>
      <c r="C46" s="11" t="s">
        <v>281</v>
      </c>
      <c r="D46" t="s">
        <v>282</v>
      </c>
      <c r="E46" t="s">
        <v>283</v>
      </c>
      <c r="F46" t="s">
        <v>150</v>
      </c>
      <c r="G46" t="s">
        <v>150</v>
      </c>
      <c r="H46" t="s">
        <v>190</v>
      </c>
      <c r="I46" s="12">
        <v>46048</v>
      </c>
      <c r="J46" t="s">
        <v>231</v>
      </c>
      <c r="K46" t="s">
        <v>150</v>
      </c>
      <c r="L46" t="s">
        <v>150</v>
      </c>
    </row>
    <row r="47" spans="1:12">
      <c r="A47" t="s">
        <v>284</v>
      </c>
      <c r="B47" t="s">
        <v>280</v>
      </c>
      <c r="C47" s="11" t="s">
        <v>285</v>
      </c>
      <c r="D47" t="s">
        <v>286</v>
      </c>
      <c r="E47" t="s">
        <v>287</v>
      </c>
      <c r="F47" t="s">
        <v>150</v>
      </c>
      <c r="G47" t="s">
        <v>150</v>
      </c>
      <c r="H47" t="s">
        <v>190</v>
      </c>
      <c r="I47" s="12">
        <v>46082</v>
      </c>
      <c r="J47" t="s">
        <v>231</v>
      </c>
      <c r="K47" t="s">
        <v>150</v>
      </c>
      <c r="L47" t="s">
        <v>150</v>
      </c>
    </row>
    <row r="48" spans="1:12">
      <c r="A48" t="s">
        <v>288</v>
      </c>
      <c r="B48" t="s">
        <v>280</v>
      </c>
      <c r="C48" s="11" t="s">
        <v>289</v>
      </c>
      <c r="D48" t="s">
        <v>290</v>
      </c>
      <c r="E48" t="s">
        <v>291</v>
      </c>
      <c r="F48" t="s">
        <v>150</v>
      </c>
      <c r="G48" t="s">
        <v>150</v>
      </c>
      <c r="H48" t="s">
        <v>171</v>
      </c>
      <c r="I48" s="12">
        <v>46078</v>
      </c>
      <c r="J48" t="s">
        <v>231</v>
      </c>
      <c r="K48" t="s">
        <v>150</v>
      </c>
      <c r="L48" t="s">
        <v>150</v>
      </c>
    </row>
    <row r="49" spans="1:14">
      <c r="A49" t="s">
        <v>292</v>
      </c>
      <c r="B49" t="s">
        <v>280</v>
      </c>
      <c r="C49" s="11" t="s">
        <v>293</v>
      </c>
      <c r="D49" t="s">
        <v>294</v>
      </c>
      <c r="E49" t="s">
        <v>295</v>
      </c>
      <c r="F49" t="s">
        <v>150</v>
      </c>
      <c r="G49" t="s">
        <v>150</v>
      </c>
      <c r="H49" t="s">
        <v>296</v>
      </c>
      <c r="I49" s="12">
        <v>46078</v>
      </c>
      <c r="J49" t="s">
        <v>231</v>
      </c>
      <c r="K49" t="s">
        <v>150</v>
      </c>
      <c r="L49" t="s">
        <v>150</v>
      </c>
    </row>
    <row r="50" spans="1:14">
      <c r="A50" t="s">
        <v>297</v>
      </c>
      <c r="B50" t="s">
        <v>280</v>
      </c>
      <c r="C50" s="11" t="s">
        <v>298</v>
      </c>
      <c r="D50" t="s">
        <v>299</v>
      </c>
      <c r="E50" t="s">
        <v>300</v>
      </c>
      <c r="F50" t="s">
        <v>150</v>
      </c>
      <c r="G50" t="s">
        <v>150</v>
      </c>
      <c r="H50" t="s">
        <v>296</v>
      </c>
      <c r="I50" s="12">
        <v>46107</v>
      </c>
      <c r="J50" t="s">
        <v>231</v>
      </c>
      <c r="K50" t="s">
        <v>150</v>
      </c>
      <c r="L50" t="s">
        <v>150</v>
      </c>
    </row>
    <row r="51" spans="1:14">
      <c r="A51" t="s">
        <v>301</v>
      </c>
      <c r="B51" t="s">
        <v>280</v>
      </c>
      <c r="C51" s="11" t="s">
        <v>302</v>
      </c>
      <c r="D51" t="s">
        <v>299</v>
      </c>
      <c r="E51" t="s">
        <v>303</v>
      </c>
      <c r="F51" t="s">
        <v>150</v>
      </c>
      <c r="G51" t="s">
        <v>150</v>
      </c>
      <c r="H51" t="s">
        <v>190</v>
      </c>
      <c r="I51" s="12">
        <v>46082</v>
      </c>
      <c r="J51" t="s">
        <v>231</v>
      </c>
      <c r="K51" t="s">
        <v>150</v>
      </c>
      <c r="L51" t="s">
        <v>150</v>
      </c>
    </row>
    <row r="52" spans="1:14">
      <c r="A52" t="s">
        <v>304</v>
      </c>
      <c r="B52" t="s">
        <v>280</v>
      </c>
      <c r="C52" s="11" t="s">
        <v>305</v>
      </c>
      <c r="D52" t="s">
        <v>306</v>
      </c>
      <c r="E52" t="s">
        <v>307</v>
      </c>
      <c r="F52" t="s">
        <v>150</v>
      </c>
      <c r="G52" t="s">
        <v>150</v>
      </c>
      <c r="H52" t="s">
        <v>190</v>
      </c>
      <c r="I52" s="12">
        <v>46082</v>
      </c>
      <c r="J52" t="s">
        <v>231</v>
      </c>
      <c r="K52" t="s">
        <v>150</v>
      </c>
      <c r="L52" t="s">
        <v>150</v>
      </c>
    </row>
    <row r="53" spans="1:14">
      <c r="A53" t="s">
        <v>308</v>
      </c>
      <c r="B53" t="s">
        <v>280</v>
      </c>
      <c r="C53" s="11" t="s">
        <v>309</v>
      </c>
      <c r="D53" t="s">
        <v>306</v>
      </c>
      <c r="E53" t="s">
        <v>310</v>
      </c>
      <c r="F53" t="s">
        <v>150</v>
      </c>
      <c r="G53" t="s">
        <v>150</v>
      </c>
      <c r="H53" t="s">
        <v>190</v>
      </c>
      <c r="I53" s="12">
        <v>46082</v>
      </c>
      <c r="J53" t="s">
        <v>231</v>
      </c>
      <c r="K53" t="s">
        <v>150</v>
      </c>
      <c r="L53" t="s">
        <v>150</v>
      </c>
    </row>
    <row r="54" spans="1:14">
      <c r="A54" t="s">
        <v>311</v>
      </c>
      <c r="N54" s="14"/>
    </row>
    <row r="55" spans="1:14">
      <c r="A55" s="11" t="s">
        <v>312</v>
      </c>
      <c r="B55" t="s">
        <v>313</v>
      </c>
      <c r="C55" s="11" t="s">
        <v>314</v>
      </c>
      <c r="D55" t="s">
        <v>315</v>
      </c>
      <c r="E55" t="s">
        <v>316</v>
      </c>
      <c r="F55" t="s">
        <v>150</v>
      </c>
      <c r="G55" t="s">
        <v>150</v>
      </c>
      <c r="H55" t="s">
        <v>171</v>
      </c>
      <c r="I55" t="s">
        <v>150</v>
      </c>
      <c r="J55" t="s">
        <v>150</v>
      </c>
      <c r="K55" s="14">
        <v>45689</v>
      </c>
      <c r="L55" t="s">
        <v>184</v>
      </c>
    </row>
    <row r="56" spans="1:14">
      <c r="A56" s="11" t="s">
        <v>317</v>
      </c>
      <c r="B56" t="s">
        <v>313</v>
      </c>
      <c r="C56" s="11" t="s">
        <v>318</v>
      </c>
      <c r="D56" t="s">
        <v>319</v>
      </c>
      <c r="E56" t="s">
        <v>320</v>
      </c>
      <c r="F56" t="s">
        <v>150</v>
      </c>
      <c r="G56" t="s">
        <v>150</v>
      </c>
      <c r="H56" t="s">
        <v>171</v>
      </c>
      <c r="I56" t="s">
        <v>150</v>
      </c>
      <c r="J56" t="s">
        <v>150</v>
      </c>
      <c r="K56" s="14">
        <v>45689</v>
      </c>
      <c r="L56" t="s">
        <v>184</v>
      </c>
    </row>
    <row r="57" spans="1:14">
      <c r="A57" t="s">
        <v>321</v>
      </c>
      <c r="B57" t="s">
        <v>313</v>
      </c>
      <c r="C57" s="11" t="s">
        <v>322</v>
      </c>
      <c r="D57" t="s">
        <v>119</v>
      </c>
      <c r="E57">
        <v>12828038</v>
      </c>
      <c r="F57" t="s">
        <v>150</v>
      </c>
      <c r="G57" t="s">
        <v>150</v>
      </c>
      <c r="H57" t="s">
        <v>190</v>
      </c>
      <c r="I57" t="s">
        <v>150</v>
      </c>
      <c r="J57" t="s">
        <v>150</v>
      </c>
      <c r="K57" s="14">
        <v>45689</v>
      </c>
      <c r="L57" t="s">
        <v>184</v>
      </c>
    </row>
    <row r="58" spans="1:14">
      <c r="A58" t="s">
        <v>323</v>
      </c>
      <c r="B58" t="s">
        <v>313</v>
      </c>
      <c r="C58" s="11" t="s">
        <v>324</v>
      </c>
      <c r="D58" t="s">
        <v>325</v>
      </c>
      <c r="E58" t="s">
        <v>326</v>
      </c>
      <c r="F58" t="s">
        <v>150</v>
      </c>
      <c r="G58" t="s">
        <v>150</v>
      </c>
      <c r="H58" t="s">
        <v>190</v>
      </c>
      <c r="I58" t="s">
        <v>150</v>
      </c>
      <c r="J58" t="s">
        <v>150</v>
      </c>
      <c r="K58" s="14">
        <v>45689</v>
      </c>
      <c r="L58" t="s">
        <v>184</v>
      </c>
    </row>
    <row r="59" spans="1:14">
      <c r="A59" s="11" t="s">
        <v>327</v>
      </c>
      <c r="B59" t="s">
        <v>328</v>
      </c>
      <c r="C59" s="11" t="s">
        <v>329</v>
      </c>
      <c r="D59" t="s">
        <v>330</v>
      </c>
      <c r="E59">
        <v>2224686</v>
      </c>
      <c r="F59" t="s">
        <v>150</v>
      </c>
      <c r="G59" t="s">
        <v>150</v>
      </c>
      <c r="H59" t="s">
        <v>171</v>
      </c>
      <c r="I59" t="s">
        <v>150</v>
      </c>
      <c r="J59" t="s">
        <v>150</v>
      </c>
      <c r="L59" t="s">
        <v>184</v>
      </c>
    </row>
    <row r="60" spans="1:14">
      <c r="A60" s="11" t="s">
        <v>331</v>
      </c>
      <c r="B60" t="s">
        <v>328</v>
      </c>
      <c r="C60" s="11" t="s">
        <v>332</v>
      </c>
      <c r="D60" t="s">
        <v>330</v>
      </c>
      <c r="E60">
        <v>2224687</v>
      </c>
      <c r="F60" t="s">
        <v>150</v>
      </c>
      <c r="G60" t="s">
        <v>150</v>
      </c>
      <c r="H60" t="s">
        <v>171</v>
      </c>
      <c r="I60" t="s">
        <v>150</v>
      </c>
      <c r="J60" t="s">
        <v>150</v>
      </c>
      <c r="L60" t="s">
        <v>184</v>
      </c>
    </row>
    <row r="61" spans="1:14">
      <c r="A61" s="11" t="s">
        <v>333</v>
      </c>
      <c r="B61" t="s">
        <v>328</v>
      </c>
      <c r="C61" s="11" t="s">
        <v>334</v>
      </c>
      <c r="D61" t="s">
        <v>330</v>
      </c>
      <c r="E61">
        <v>2224688</v>
      </c>
      <c r="F61" t="s">
        <v>150</v>
      </c>
      <c r="G61" t="s">
        <v>150</v>
      </c>
      <c r="H61" t="s">
        <v>171</v>
      </c>
      <c r="I61" t="s">
        <v>150</v>
      </c>
      <c r="J61" t="s">
        <v>150</v>
      </c>
      <c r="L61" t="s">
        <v>184</v>
      </c>
    </row>
    <row r="62" spans="1:14">
      <c r="A62" s="11" t="s">
        <v>333</v>
      </c>
      <c r="B62" t="s">
        <v>328</v>
      </c>
      <c r="C62" s="11" t="s">
        <v>335</v>
      </c>
      <c r="D62" t="s">
        <v>336</v>
      </c>
      <c r="E62" t="s">
        <v>337</v>
      </c>
      <c r="F62" t="s">
        <v>150</v>
      </c>
      <c r="G62" t="s">
        <v>150</v>
      </c>
      <c r="H62" t="s">
        <v>190</v>
      </c>
      <c r="I62" t="s">
        <v>150</v>
      </c>
      <c r="J62" t="s">
        <v>150</v>
      </c>
      <c r="L62" t="s">
        <v>184</v>
      </c>
    </row>
    <row r="63" spans="1:14">
      <c r="A63" s="11" t="s">
        <v>338</v>
      </c>
      <c r="B63" t="s">
        <v>328</v>
      </c>
      <c r="C63" s="11" t="s">
        <v>339</v>
      </c>
      <c r="D63" t="s">
        <v>340</v>
      </c>
      <c r="E63" t="s">
        <v>341</v>
      </c>
      <c r="F63" t="s">
        <v>150</v>
      </c>
      <c r="G63" t="s">
        <v>150</v>
      </c>
      <c r="H63" t="s">
        <v>190</v>
      </c>
      <c r="I63" t="s">
        <v>150</v>
      </c>
      <c r="J63" t="s">
        <v>150</v>
      </c>
      <c r="L63" t="s">
        <v>184</v>
      </c>
    </row>
    <row r="64" spans="1:14">
      <c r="A64" s="11" t="s">
        <v>342</v>
      </c>
      <c r="B64" t="s">
        <v>328</v>
      </c>
      <c r="C64" s="11" t="s">
        <v>343</v>
      </c>
      <c r="D64" t="s">
        <v>344</v>
      </c>
      <c r="E64" t="s">
        <v>345</v>
      </c>
      <c r="F64" t="s">
        <v>150</v>
      </c>
      <c r="G64" t="s">
        <v>150</v>
      </c>
      <c r="H64" t="s">
        <v>190</v>
      </c>
      <c r="I64" t="s">
        <v>150</v>
      </c>
      <c r="J64" t="s">
        <v>150</v>
      </c>
      <c r="L64" t="s">
        <v>184</v>
      </c>
    </row>
    <row r="65" spans="1:14">
      <c r="A65" s="11" t="s">
        <v>331</v>
      </c>
      <c r="B65" t="s">
        <v>328</v>
      </c>
      <c r="C65" s="11" t="s">
        <v>346</v>
      </c>
      <c r="D65" t="s">
        <v>347</v>
      </c>
      <c r="E65" t="s">
        <v>348</v>
      </c>
      <c r="F65" t="s">
        <v>150</v>
      </c>
      <c r="G65" t="s">
        <v>150</v>
      </c>
      <c r="H65" t="s">
        <v>190</v>
      </c>
      <c r="I65" t="s">
        <v>150</v>
      </c>
      <c r="J65" t="s">
        <v>150</v>
      </c>
      <c r="L65" t="s">
        <v>184</v>
      </c>
    </row>
    <row r="66" spans="1:14">
      <c r="A66" s="11" t="s">
        <v>349</v>
      </c>
      <c r="B66" t="s">
        <v>328</v>
      </c>
      <c r="C66" s="11" t="s">
        <v>350</v>
      </c>
      <c r="D66" t="s">
        <v>351</v>
      </c>
      <c r="E66" t="s">
        <v>352</v>
      </c>
      <c r="F66" t="s">
        <v>150</v>
      </c>
      <c r="G66" t="s">
        <v>150</v>
      </c>
      <c r="H66" t="s">
        <v>190</v>
      </c>
      <c r="I66" t="s">
        <v>150</v>
      </c>
      <c r="J66" t="s">
        <v>150</v>
      </c>
      <c r="L66" t="s">
        <v>184</v>
      </c>
    </row>
    <row r="67" spans="1:14">
      <c r="A67" s="11" t="s">
        <v>353</v>
      </c>
      <c r="B67" t="s">
        <v>354</v>
      </c>
      <c r="C67" s="11" t="s">
        <v>353</v>
      </c>
      <c r="D67" t="s">
        <v>355</v>
      </c>
      <c r="E67" t="s">
        <v>150</v>
      </c>
      <c r="F67" t="s">
        <v>150</v>
      </c>
      <c r="G67" t="s">
        <v>150</v>
      </c>
      <c r="H67" t="s">
        <v>190</v>
      </c>
      <c r="I67" t="s">
        <v>150</v>
      </c>
      <c r="J67" t="s">
        <v>150</v>
      </c>
      <c r="K67" t="s">
        <v>150</v>
      </c>
      <c r="L67" t="s">
        <v>150</v>
      </c>
    </row>
    <row r="68" spans="1:14">
      <c r="A68" s="11" t="s">
        <v>356</v>
      </c>
      <c r="B68" t="s">
        <v>354</v>
      </c>
      <c r="C68" s="11" t="s">
        <v>356</v>
      </c>
      <c r="D68" t="s">
        <v>355</v>
      </c>
      <c r="E68" t="s">
        <v>150</v>
      </c>
      <c r="F68" t="s">
        <v>150</v>
      </c>
      <c r="G68" t="s">
        <v>150</v>
      </c>
      <c r="H68" t="s">
        <v>171</v>
      </c>
      <c r="I68" t="s">
        <v>150</v>
      </c>
      <c r="J68" t="s">
        <v>150</v>
      </c>
      <c r="K68" t="s">
        <v>150</v>
      </c>
      <c r="L68" t="s">
        <v>150</v>
      </c>
    </row>
    <row r="69" spans="1:14">
      <c r="A69" s="11" t="s">
        <v>357</v>
      </c>
      <c r="B69" t="s">
        <v>358</v>
      </c>
      <c r="C69" s="11" t="s">
        <v>357</v>
      </c>
      <c r="D69" t="s">
        <v>359</v>
      </c>
      <c r="E69">
        <v>2.8603843030599999E+19</v>
      </c>
      <c r="F69" t="s">
        <v>150</v>
      </c>
      <c r="G69" t="s">
        <v>150</v>
      </c>
      <c r="H69" t="s">
        <v>151</v>
      </c>
      <c r="I69" t="s">
        <v>150</v>
      </c>
      <c r="J69" t="s">
        <v>150</v>
      </c>
      <c r="K69" t="s">
        <v>150</v>
      </c>
      <c r="L69" t="s">
        <v>150</v>
      </c>
    </row>
    <row r="70" spans="1:14">
      <c r="A70" s="11" t="s">
        <v>360</v>
      </c>
      <c r="B70" t="s">
        <v>358</v>
      </c>
      <c r="C70" s="11" t="s">
        <v>360</v>
      </c>
      <c r="D70" t="s">
        <v>359</v>
      </c>
      <c r="E70" s="13">
        <v>2.86038620224E+19</v>
      </c>
      <c r="F70" t="s">
        <v>150</v>
      </c>
      <c r="G70" t="s">
        <v>150</v>
      </c>
      <c r="H70" t="s">
        <v>171</v>
      </c>
      <c r="I70" t="s">
        <v>150</v>
      </c>
      <c r="J70" t="s">
        <v>150</v>
      </c>
      <c r="K70" t="s">
        <v>150</v>
      </c>
      <c r="L70" t="s">
        <v>150</v>
      </c>
    </row>
    <row r="71" spans="1:14">
      <c r="A71" t="s">
        <v>361</v>
      </c>
      <c r="B71" t="s">
        <v>160</v>
      </c>
      <c r="C71">
        <v>821122</v>
      </c>
      <c r="D71" t="s">
        <v>160</v>
      </c>
      <c r="E71" t="s">
        <v>150</v>
      </c>
      <c r="F71" t="s">
        <v>362</v>
      </c>
      <c r="G71" t="s">
        <v>363</v>
      </c>
      <c r="H71" t="s">
        <v>364</v>
      </c>
      <c r="I71" s="11" t="s">
        <v>365</v>
      </c>
      <c r="J71" t="s">
        <v>152</v>
      </c>
      <c r="K71" t="s">
        <v>150</v>
      </c>
      <c r="L71" t="s">
        <v>150</v>
      </c>
      <c r="M71" t="s">
        <v>150</v>
      </c>
      <c r="N71" t="s">
        <v>150</v>
      </c>
    </row>
    <row r="72" spans="1:14">
      <c r="A72" t="s">
        <v>366</v>
      </c>
      <c r="B72" t="s">
        <v>160</v>
      </c>
      <c r="C72">
        <v>807363</v>
      </c>
      <c r="D72" t="s">
        <v>160</v>
      </c>
      <c r="E72" t="s">
        <v>150</v>
      </c>
      <c r="F72" t="s">
        <v>362</v>
      </c>
      <c r="G72" t="s">
        <v>363</v>
      </c>
      <c r="H72" t="s">
        <v>364</v>
      </c>
      <c r="I72" s="11" t="s">
        <v>367</v>
      </c>
      <c r="J72" t="s">
        <v>152</v>
      </c>
      <c r="K72" t="s">
        <v>150</v>
      </c>
      <c r="L72" t="s">
        <v>150</v>
      </c>
      <c r="M72" t="s">
        <v>150</v>
      </c>
      <c r="N72" t="s">
        <v>150</v>
      </c>
    </row>
    <row r="73" spans="1:14">
      <c r="A73" t="s">
        <v>368</v>
      </c>
      <c r="I73" s="11"/>
    </row>
    <row r="74" spans="1:14">
      <c r="A74" s="11" t="s">
        <v>369</v>
      </c>
      <c r="B74" t="s">
        <v>181</v>
      </c>
      <c r="C74" s="11" t="s">
        <v>369</v>
      </c>
      <c r="D74" t="s">
        <v>370</v>
      </c>
      <c r="E74" t="s">
        <v>371</v>
      </c>
      <c r="F74" t="s">
        <v>150</v>
      </c>
      <c r="G74" t="s">
        <v>150</v>
      </c>
      <c r="H74" t="s">
        <v>372</v>
      </c>
      <c r="I74" t="s">
        <v>150</v>
      </c>
      <c r="J74" t="s">
        <v>150</v>
      </c>
      <c r="K74" s="14">
        <v>45809</v>
      </c>
      <c r="L74" t="s">
        <v>184</v>
      </c>
    </row>
    <row r="75" spans="1:14">
      <c r="A75" s="11" t="s">
        <v>373</v>
      </c>
      <c r="B75" t="s">
        <v>181</v>
      </c>
      <c r="C75" s="11" t="s">
        <v>373</v>
      </c>
      <c r="D75" t="s">
        <v>370</v>
      </c>
      <c r="E75" t="s">
        <v>189</v>
      </c>
      <c r="F75" t="s">
        <v>150</v>
      </c>
      <c r="G75" t="s">
        <v>150</v>
      </c>
      <c r="H75" t="s">
        <v>190</v>
      </c>
      <c r="I75" t="s">
        <v>150</v>
      </c>
      <c r="J75" t="s">
        <v>150</v>
      </c>
      <c r="K75" s="14">
        <v>45809</v>
      </c>
      <c r="L75" t="s">
        <v>184</v>
      </c>
    </row>
    <row r="76" spans="1:14">
      <c r="A76" s="11" t="s">
        <v>374</v>
      </c>
      <c r="B76" t="s">
        <v>375</v>
      </c>
      <c r="C76" s="11"/>
      <c r="K76" s="14"/>
    </row>
    <row r="77" spans="1:14">
      <c r="A77" s="11" t="s">
        <v>376</v>
      </c>
      <c r="B77" t="s">
        <v>375</v>
      </c>
    </row>
    <row r="78" spans="1:14">
      <c r="A78" s="11" t="s">
        <v>377</v>
      </c>
      <c r="B78" t="s">
        <v>181</v>
      </c>
      <c r="D78" t="s">
        <v>370</v>
      </c>
    </row>
    <row r="79" spans="1:14">
      <c r="A79" s="11" t="s">
        <v>378</v>
      </c>
      <c r="B79" t="s">
        <v>375</v>
      </c>
    </row>
    <row r="80" spans="1:14">
      <c r="A80" t="s">
        <v>379</v>
      </c>
      <c r="B80" t="s">
        <v>210</v>
      </c>
      <c r="C80" s="11" t="s">
        <v>380</v>
      </c>
      <c r="D80" t="s">
        <v>212</v>
      </c>
      <c r="E80" t="s">
        <v>381</v>
      </c>
      <c r="H80" t="s">
        <v>171</v>
      </c>
      <c r="I80" s="11" t="s">
        <v>88</v>
      </c>
      <c r="J80" t="s">
        <v>214</v>
      </c>
      <c r="K80" t="s">
        <v>150</v>
      </c>
      <c r="L80" t="s">
        <v>150</v>
      </c>
    </row>
    <row r="81" spans="1:12">
      <c r="A81" t="s">
        <v>382</v>
      </c>
      <c r="B81" t="s">
        <v>210</v>
      </c>
      <c r="C81" s="11" t="s">
        <v>383</v>
      </c>
      <c r="D81" t="s">
        <v>212</v>
      </c>
      <c r="E81" t="s">
        <v>384</v>
      </c>
      <c r="H81" t="s">
        <v>190</v>
      </c>
      <c r="I81" s="11" t="s">
        <v>88</v>
      </c>
      <c r="J81" t="s">
        <v>214</v>
      </c>
      <c r="K81" t="s">
        <v>150</v>
      </c>
      <c r="L81" t="s">
        <v>150</v>
      </c>
    </row>
  </sheetData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D684-5947-0F4F-98C2-68741EF35CA7}">
  <sheetPr>
    <tabColor rgb="FFFFB3B3"/>
  </sheetPr>
  <dimension ref="A1:N49"/>
  <sheetViews>
    <sheetView topLeftCell="G1" zoomScale="87" workbookViewId="0">
      <selection activeCell="N12" sqref="N12"/>
    </sheetView>
  </sheetViews>
  <sheetFormatPr baseColWidth="10" defaultRowHeight="15"/>
  <cols>
    <col min="1" max="1" width="15.33203125" style="179" bestFit="1" customWidth="1"/>
    <col min="2" max="2" width="19.83203125" style="179" bestFit="1" customWidth="1"/>
    <col min="3" max="3" width="11.83203125" style="179" bestFit="1" customWidth="1"/>
    <col min="4" max="4" width="15.1640625" style="179" bestFit="1" customWidth="1"/>
    <col min="5" max="5" width="15.33203125" style="179" bestFit="1" customWidth="1"/>
    <col min="6" max="6" width="19.5" style="179" bestFit="1" customWidth="1"/>
    <col min="7" max="7" width="23.33203125" style="179" bestFit="1" customWidth="1"/>
    <col min="8" max="8" width="7.33203125" style="179" bestFit="1" customWidth="1"/>
    <col min="9" max="9" width="38.83203125" style="179" bestFit="1" customWidth="1"/>
    <col min="10" max="10" width="16.5" style="179" bestFit="1" customWidth="1"/>
    <col min="11" max="11" width="8" style="179" bestFit="1" customWidth="1"/>
    <col min="12" max="12" width="26.83203125" style="179" bestFit="1" customWidth="1"/>
    <col min="13" max="13" width="10.83203125" style="179"/>
    <col min="14" max="14" width="42.5" style="179" bestFit="1" customWidth="1"/>
    <col min="15" max="16384" width="10.83203125" style="179"/>
  </cols>
  <sheetData>
    <row r="1" spans="1:14" ht="43" customHeight="1">
      <c r="A1" s="164" t="s">
        <v>1108</v>
      </c>
      <c r="B1" s="185" t="s">
        <v>444</v>
      </c>
      <c r="C1" s="185" t="s">
        <v>445</v>
      </c>
      <c r="D1" s="185" t="s">
        <v>447</v>
      </c>
      <c r="E1" s="185" t="s">
        <v>550</v>
      </c>
      <c r="F1" s="185" t="s">
        <v>446</v>
      </c>
      <c r="G1" s="185" t="s">
        <v>551</v>
      </c>
      <c r="H1" s="185" t="s">
        <v>448</v>
      </c>
      <c r="I1" s="185" t="s">
        <v>449</v>
      </c>
      <c r="J1" s="185" t="s">
        <v>450</v>
      </c>
      <c r="K1" s="185" t="s">
        <v>419</v>
      </c>
      <c r="L1" s="196" t="s">
        <v>571</v>
      </c>
    </row>
    <row r="2" spans="1:14">
      <c r="A2" s="295"/>
      <c r="B2" s="191" t="s">
        <v>590</v>
      </c>
      <c r="C2" s="191">
        <v>1211744843</v>
      </c>
      <c r="D2" s="191" t="s">
        <v>459</v>
      </c>
      <c r="E2" s="191">
        <v>847922</v>
      </c>
      <c r="F2" s="191">
        <v>660764</v>
      </c>
      <c r="G2" s="191" t="s">
        <v>591</v>
      </c>
      <c r="H2" s="191" t="s">
        <v>552</v>
      </c>
      <c r="I2" s="191" t="s">
        <v>580</v>
      </c>
      <c r="J2" s="182" t="s">
        <v>555</v>
      </c>
      <c r="K2" s="182">
        <v>2008</v>
      </c>
      <c r="L2" s="182" t="s">
        <v>562</v>
      </c>
      <c r="N2" s="188" t="s">
        <v>589</v>
      </c>
    </row>
    <row r="3" spans="1:14">
      <c r="A3" s="295"/>
      <c r="B3" s="182"/>
      <c r="C3" s="182"/>
      <c r="D3" s="183"/>
      <c r="E3" s="189"/>
      <c r="F3" s="182"/>
      <c r="G3" s="182"/>
      <c r="H3" s="182"/>
      <c r="I3" s="182"/>
      <c r="J3" s="182"/>
      <c r="K3" s="182">
        <v>2009</v>
      </c>
      <c r="L3" s="182" t="s">
        <v>562</v>
      </c>
    </row>
    <row r="4" spans="1:14">
      <c r="A4" s="295"/>
      <c r="B4" s="191" t="s">
        <v>616</v>
      </c>
      <c r="C4" s="191">
        <v>1021846357</v>
      </c>
      <c r="D4" s="191" t="s">
        <v>454</v>
      </c>
      <c r="E4" s="191">
        <v>807363</v>
      </c>
      <c r="F4" s="191">
        <v>880248</v>
      </c>
      <c r="G4" s="191" t="s">
        <v>617</v>
      </c>
      <c r="H4" s="191" t="s">
        <v>552</v>
      </c>
      <c r="I4" s="191" t="s">
        <v>580</v>
      </c>
      <c r="J4" s="182">
        <v>41.4</v>
      </c>
      <c r="K4" s="182">
        <v>2125</v>
      </c>
      <c r="L4" s="182" t="s">
        <v>567</v>
      </c>
      <c r="N4" s="179" t="s">
        <v>615</v>
      </c>
    </row>
    <row r="5" spans="1:14">
      <c r="A5" s="295"/>
      <c r="B5" s="182"/>
      <c r="C5" s="182"/>
      <c r="D5" s="183"/>
      <c r="E5" s="184"/>
      <c r="F5" s="182"/>
      <c r="G5" s="182"/>
      <c r="H5" s="182"/>
      <c r="I5" s="182"/>
      <c r="J5" s="182">
        <v>90</v>
      </c>
      <c r="K5" s="182"/>
      <c r="L5" s="182" t="s">
        <v>573</v>
      </c>
    </row>
    <row r="6" spans="1:14">
      <c r="A6" s="295"/>
      <c r="B6" s="182"/>
      <c r="C6" s="182"/>
      <c r="D6" s="183"/>
      <c r="E6" s="184"/>
      <c r="F6" s="182"/>
      <c r="G6" s="182"/>
      <c r="H6" s="182"/>
      <c r="I6" s="182"/>
      <c r="J6" s="182"/>
      <c r="K6" s="182"/>
      <c r="L6" s="182" t="s">
        <v>560</v>
      </c>
    </row>
    <row r="7" spans="1:14">
      <c r="A7" s="295"/>
      <c r="B7" s="191" t="s">
        <v>601</v>
      </c>
      <c r="C7" s="191">
        <v>1218982711</v>
      </c>
      <c r="D7" s="191" t="s">
        <v>454</v>
      </c>
      <c r="E7" s="191">
        <v>802069</v>
      </c>
      <c r="F7" s="191">
        <v>865290</v>
      </c>
      <c r="G7" s="191" t="s">
        <v>602</v>
      </c>
      <c r="H7" s="191" t="s">
        <v>552</v>
      </c>
      <c r="I7" s="191" t="s">
        <v>580</v>
      </c>
      <c r="J7" s="182">
        <v>37</v>
      </c>
      <c r="K7" s="182">
        <v>2096</v>
      </c>
      <c r="L7" s="182" t="s">
        <v>572</v>
      </c>
      <c r="N7" s="179" t="s">
        <v>600</v>
      </c>
    </row>
    <row r="8" spans="1:14">
      <c r="A8" s="295"/>
      <c r="B8" s="191" t="s">
        <v>610</v>
      </c>
      <c r="C8" s="191">
        <v>218239329</v>
      </c>
      <c r="D8" s="191" t="s">
        <v>577</v>
      </c>
      <c r="E8" s="191">
        <v>750172</v>
      </c>
      <c r="F8" s="191">
        <v>210003099</v>
      </c>
      <c r="G8" s="191" t="s">
        <v>611</v>
      </c>
      <c r="H8" s="191" t="s">
        <v>552</v>
      </c>
      <c r="I8" s="191" t="s">
        <v>580</v>
      </c>
      <c r="J8" s="182">
        <v>50</v>
      </c>
      <c r="K8" s="182">
        <v>2097</v>
      </c>
      <c r="L8" s="182" t="s">
        <v>572</v>
      </c>
      <c r="N8" s="179" t="s">
        <v>609</v>
      </c>
    </row>
    <row r="9" spans="1:14">
      <c r="A9" s="295"/>
      <c r="B9" s="192" t="s">
        <v>576</v>
      </c>
      <c r="C9" s="192">
        <v>1189642120</v>
      </c>
      <c r="D9" s="192" t="s">
        <v>577</v>
      </c>
      <c r="E9" s="192">
        <v>803094</v>
      </c>
      <c r="F9" s="192">
        <v>797398</v>
      </c>
      <c r="G9" s="193">
        <v>42515.55091435185</v>
      </c>
      <c r="H9" s="192" t="s">
        <v>552</v>
      </c>
      <c r="I9" s="192" t="s">
        <v>553</v>
      </c>
      <c r="J9" s="182">
        <v>28.4</v>
      </c>
      <c r="K9" s="182">
        <v>2037</v>
      </c>
      <c r="L9" s="182" t="s">
        <v>563</v>
      </c>
      <c r="N9" s="179" t="s">
        <v>575</v>
      </c>
    </row>
    <row r="10" spans="1:14">
      <c r="A10" s="295"/>
      <c r="B10" s="192" t="s">
        <v>579</v>
      </c>
      <c r="C10" s="192">
        <v>1189644318</v>
      </c>
      <c r="D10" s="192" t="s">
        <v>577</v>
      </c>
      <c r="E10" s="192">
        <v>847922</v>
      </c>
      <c r="F10" s="192">
        <v>791277</v>
      </c>
      <c r="G10" s="193">
        <v>42515.60119212963</v>
      </c>
      <c r="H10" s="192" t="s">
        <v>552</v>
      </c>
      <c r="I10" s="192" t="s">
        <v>580</v>
      </c>
      <c r="J10" s="182">
        <v>36</v>
      </c>
      <c r="K10" s="182">
        <v>5007</v>
      </c>
      <c r="L10" s="182" t="s">
        <v>618</v>
      </c>
      <c r="N10" s="179" t="s">
        <v>578</v>
      </c>
    </row>
    <row r="11" spans="1:14">
      <c r="A11" s="295"/>
      <c r="B11" s="191" t="s">
        <v>595</v>
      </c>
      <c r="C11" s="191">
        <v>600571765</v>
      </c>
      <c r="D11" s="191" t="s">
        <v>577</v>
      </c>
      <c r="E11" s="191">
        <v>807363</v>
      </c>
      <c r="F11" s="191">
        <v>790890</v>
      </c>
      <c r="G11" s="191" t="s">
        <v>596</v>
      </c>
      <c r="H11" s="191" t="s">
        <v>552</v>
      </c>
      <c r="I11" s="191" t="s">
        <v>580</v>
      </c>
      <c r="J11" s="182">
        <v>18.7</v>
      </c>
      <c r="K11" s="182">
        <v>5017</v>
      </c>
      <c r="L11" s="182" t="s">
        <v>618</v>
      </c>
      <c r="N11" s="179" t="s">
        <v>594</v>
      </c>
    </row>
    <row r="12" spans="1:14">
      <c r="A12" s="295"/>
      <c r="B12" s="191" t="s">
        <v>587</v>
      </c>
      <c r="C12" s="191">
        <v>1211742925</v>
      </c>
      <c r="D12" s="191" t="s">
        <v>459</v>
      </c>
      <c r="E12" s="191">
        <v>847922</v>
      </c>
      <c r="F12" s="191">
        <v>775845</v>
      </c>
      <c r="G12" s="191" t="s">
        <v>588</v>
      </c>
      <c r="H12" s="191" t="s">
        <v>552</v>
      </c>
      <c r="I12" s="191" t="s">
        <v>580</v>
      </c>
      <c r="J12" s="182">
        <v>63.9</v>
      </c>
      <c r="K12" s="182">
        <v>5006</v>
      </c>
      <c r="L12" s="182" t="s">
        <v>618</v>
      </c>
      <c r="N12" s="179" t="s">
        <v>586</v>
      </c>
    </row>
    <row r="13" spans="1:14">
      <c r="A13" s="295"/>
      <c r="B13" s="191"/>
      <c r="C13" s="191"/>
      <c r="D13" s="191"/>
      <c r="E13" s="191"/>
      <c r="F13" s="191"/>
      <c r="G13" s="191"/>
      <c r="H13" s="191"/>
      <c r="I13" s="191"/>
      <c r="J13" s="182"/>
      <c r="K13" s="182">
        <v>5008</v>
      </c>
      <c r="L13" s="182" t="s">
        <v>618</v>
      </c>
    </row>
    <row r="14" spans="1:14">
      <c r="A14" s="295"/>
      <c r="B14" s="191"/>
      <c r="C14" s="191"/>
      <c r="D14" s="191"/>
      <c r="E14" s="191"/>
      <c r="F14" s="191"/>
      <c r="G14" s="191"/>
      <c r="H14" s="191"/>
      <c r="I14" s="191"/>
      <c r="J14" s="182"/>
      <c r="K14" s="182">
        <v>5009</v>
      </c>
      <c r="L14" s="182" t="s">
        <v>618</v>
      </c>
    </row>
    <row r="15" spans="1:14">
      <c r="A15" s="295"/>
      <c r="B15" s="182"/>
      <c r="C15" s="182"/>
      <c r="D15" s="183"/>
      <c r="E15" s="184"/>
      <c r="F15" s="182"/>
      <c r="G15" s="182"/>
      <c r="H15" s="182"/>
      <c r="I15" s="182"/>
      <c r="J15" s="182"/>
      <c r="K15" s="182">
        <v>5018</v>
      </c>
      <c r="L15" s="182" t="s">
        <v>618</v>
      </c>
    </row>
    <row r="16" spans="1:14">
      <c r="A16" s="295"/>
      <c r="B16" s="182"/>
      <c r="C16" s="182"/>
      <c r="D16" s="183"/>
      <c r="E16" s="184"/>
      <c r="F16" s="182"/>
      <c r="G16" s="182"/>
      <c r="H16" s="182"/>
      <c r="I16" s="182"/>
      <c r="J16" s="182"/>
      <c r="K16" s="182">
        <v>5019</v>
      </c>
      <c r="L16" s="182" t="s">
        <v>618</v>
      </c>
    </row>
    <row r="17" spans="1:14">
      <c r="A17" s="295"/>
      <c r="B17" s="182"/>
      <c r="C17" s="182"/>
      <c r="D17" s="183"/>
      <c r="E17" s="184"/>
      <c r="F17" s="182"/>
      <c r="G17" s="182"/>
      <c r="H17" s="182"/>
      <c r="I17" s="182"/>
      <c r="J17" s="182"/>
      <c r="K17" s="182"/>
      <c r="L17" s="182" t="s">
        <v>561</v>
      </c>
    </row>
    <row r="18" spans="1:14">
      <c r="A18" s="295"/>
      <c r="B18" s="191" t="s">
        <v>592</v>
      </c>
      <c r="C18" s="191">
        <v>218569058</v>
      </c>
      <c r="D18" s="191" t="s">
        <v>459</v>
      </c>
      <c r="E18" s="191">
        <v>847922</v>
      </c>
      <c r="F18" s="191">
        <v>897302</v>
      </c>
      <c r="G18" s="191" t="s">
        <v>593</v>
      </c>
      <c r="H18" s="191" t="s">
        <v>455</v>
      </c>
      <c r="I18" s="191" t="s">
        <v>554</v>
      </c>
      <c r="J18" s="182">
        <v>50</v>
      </c>
      <c r="K18" s="182"/>
      <c r="L18" s="182" t="s">
        <v>558</v>
      </c>
    </row>
    <row r="19" spans="1:14">
      <c r="A19" s="295"/>
      <c r="B19" s="182"/>
      <c r="C19" s="182"/>
      <c r="D19" s="183"/>
      <c r="E19" s="184"/>
      <c r="F19" s="182"/>
      <c r="G19" s="182"/>
      <c r="H19" s="182"/>
      <c r="I19" s="182"/>
      <c r="J19" s="182"/>
      <c r="K19" s="182">
        <v>5001</v>
      </c>
      <c r="L19" s="182" t="s">
        <v>568</v>
      </c>
      <c r="M19" s="181"/>
    </row>
    <row r="20" spans="1:14">
      <c r="A20" s="295"/>
      <c r="B20" s="182"/>
      <c r="C20" s="182"/>
      <c r="D20" s="183"/>
      <c r="E20" s="184"/>
      <c r="F20" s="182"/>
      <c r="G20" s="182"/>
      <c r="H20" s="182"/>
      <c r="I20" s="182"/>
      <c r="J20" s="182"/>
      <c r="K20" s="182">
        <v>5002</v>
      </c>
      <c r="L20" s="182" t="s">
        <v>568</v>
      </c>
    </row>
    <row r="21" spans="1:14">
      <c r="A21" s="295"/>
      <c r="B21" s="182"/>
      <c r="C21" s="182"/>
      <c r="D21" s="183"/>
      <c r="E21" s="184"/>
      <c r="F21" s="182"/>
      <c r="G21" s="182"/>
      <c r="H21" s="182"/>
      <c r="I21" s="182"/>
      <c r="J21" s="182"/>
      <c r="K21" s="182">
        <v>5003</v>
      </c>
      <c r="L21" s="182" t="s">
        <v>568</v>
      </c>
    </row>
    <row r="22" spans="1:14">
      <c r="A22" s="295"/>
      <c r="B22" s="182"/>
      <c r="C22" s="182"/>
      <c r="D22" s="183"/>
      <c r="E22" s="184"/>
      <c r="F22" s="182"/>
      <c r="G22" s="182"/>
      <c r="H22" s="182"/>
      <c r="I22" s="182"/>
      <c r="J22" s="182"/>
      <c r="K22" s="182">
        <v>5004</v>
      </c>
      <c r="L22" s="182" t="s">
        <v>568</v>
      </c>
    </row>
    <row r="23" spans="1:14">
      <c r="A23" s="295"/>
      <c r="B23" s="182"/>
      <c r="C23" s="182"/>
      <c r="D23" s="183"/>
      <c r="E23" s="184"/>
      <c r="F23" s="182"/>
      <c r="G23" s="182"/>
      <c r="H23" s="182"/>
      <c r="I23" s="182"/>
      <c r="J23" s="182"/>
      <c r="K23" s="182">
        <v>5005</v>
      </c>
      <c r="L23" s="182" t="s">
        <v>568</v>
      </c>
    </row>
    <row r="24" spans="1:14">
      <c r="A24" s="295"/>
      <c r="B24" s="191" t="s">
        <v>598</v>
      </c>
      <c r="C24" s="191">
        <v>618195071</v>
      </c>
      <c r="D24" s="191" t="s">
        <v>454</v>
      </c>
      <c r="E24" s="191">
        <v>807363</v>
      </c>
      <c r="F24" s="191">
        <v>781149</v>
      </c>
      <c r="G24" s="191" t="s">
        <v>599</v>
      </c>
      <c r="H24" s="191" t="s">
        <v>552</v>
      </c>
      <c r="I24" s="191" t="s">
        <v>580</v>
      </c>
      <c r="J24" s="182">
        <v>32.5</v>
      </c>
      <c r="K24" s="182">
        <v>5011</v>
      </c>
      <c r="L24" s="182" t="s">
        <v>566</v>
      </c>
      <c r="N24" s="179" t="s">
        <v>597</v>
      </c>
    </row>
    <row r="25" spans="1:14">
      <c r="A25" s="295"/>
      <c r="B25" s="191" t="s">
        <v>604</v>
      </c>
      <c r="C25" s="191">
        <v>922179743</v>
      </c>
      <c r="D25" s="191" t="s">
        <v>459</v>
      </c>
      <c r="E25" s="191">
        <v>847922</v>
      </c>
      <c r="F25" s="191">
        <v>635023</v>
      </c>
      <c r="G25" s="191" t="s">
        <v>605</v>
      </c>
      <c r="H25" s="191" t="s">
        <v>455</v>
      </c>
      <c r="I25" s="191" t="s">
        <v>554</v>
      </c>
      <c r="J25" s="182">
        <v>55.1</v>
      </c>
      <c r="K25" s="182">
        <v>5015</v>
      </c>
      <c r="L25" s="182" t="s">
        <v>568</v>
      </c>
      <c r="N25" s="179" t="s">
        <v>603</v>
      </c>
    </row>
    <row r="26" spans="1:14">
      <c r="A26" s="295"/>
      <c r="B26" s="182"/>
      <c r="C26" s="182"/>
      <c r="D26" s="183"/>
      <c r="E26" s="184"/>
      <c r="F26" s="182"/>
      <c r="G26" s="182"/>
      <c r="H26" s="182"/>
      <c r="I26" s="182"/>
      <c r="J26" s="182"/>
      <c r="K26" s="182">
        <v>5016</v>
      </c>
      <c r="L26" s="182" t="s">
        <v>568</v>
      </c>
    </row>
    <row r="27" spans="1:14">
      <c r="A27" s="295"/>
      <c r="B27" s="182"/>
      <c r="C27" s="182"/>
      <c r="D27" s="182"/>
      <c r="E27" s="182"/>
      <c r="F27" s="182"/>
      <c r="G27" s="182"/>
      <c r="H27" s="182"/>
      <c r="I27" s="182"/>
      <c r="J27" s="182"/>
      <c r="K27" s="182" t="s">
        <v>570</v>
      </c>
      <c r="L27" s="182" t="s">
        <v>569</v>
      </c>
    </row>
    <row r="29" spans="1:14" ht="37" customHeight="1">
      <c r="A29" s="164" t="s">
        <v>1109</v>
      </c>
      <c r="B29" s="185" t="s">
        <v>444</v>
      </c>
      <c r="C29" s="185" t="s">
        <v>445</v>
      </c>
      <c r="D29" s="185" t="s">
        <v>447</v>
      </c>
      <c r="E29" s="185" t="s">
        <v>550</v>
      </c>
      <c r="F29" s="185" t="s">
        <v>446</v>
      </c>
      <c r="G29" s="185" t="s">
        <v>551</v>
      </c>
      <c r="H29" s="185" t="s">
        <v>448</v>
      </c>
      <c r="I29" s="185" t="s">
        <v>449</v>
      </c>
      <c r="J29" s="185" t="s">
        <v>450</v>
      </c>
      <c r="K29" s="185" t="s">
        <v>419</v>
      </c>
      <c r="L29" s="196" t="s">
        <v>571</v>
      </c>
    </row>
    <row r="30" spans="1:14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</row>
    <row r="31" spans="1:14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</row>
    <row r="32" spans="1:14">
      <c r="A32" s="291"/>
      <c r="B32" s="291"/>
      <c r="C32" s="291"/>
      <c r="D32" s="291"/>
      <c r="E32" s="291"/>
      <c r="F32" s="291"/>
      <c r="G32" s="291"/>
      <c r="H32" s="291"/>
      <c r="I32" s="291"/>
      <c r="J32" s="291"/>
      <c r="K32" s="291"/>
      <c r="L32" s="291"/>
    </row>
    <row r="34" spans="1:14" ht="16" thickBot="1">
      <c r="A34" s="301" t="s">
        <v>557</v>
      </c>
      <c r="B34" s="299" t="s">
        <v>444</v>
      </c>
      <c r="C34" s="185" t="s">
        <v>445</v>
      </c>
      <c r="D34" s="185" t="s">
        <v>447</v>
      </c>
      <c r="E34" s="185" t="s">
        <v>550</v>
      </c>
      <c r="F34" s="185" t="s">
        <v>446</v>
      </c>
      <c r="G34" s="185" t="s">
        <v>551</v>
      </c>
      <c r="H34" s="185" t="s">
        <v>448</v>
      </c>
      <c r="I34" s="185" t="s">
        <v>449</v>
      </c>
      <c r="J34" s="185" t="s">
        <v>450</v>
      </c>
      <c r="K34" s="185" t="s">
        <v>419</v>
      </c>
      <c r="L34" s="196" t="s">
        <v>571</v>
      </c>
    </row>
    <row r="35" spans="1:14" ht="46" customHeight="1">
      <c r="A35" s="291"/>
      <c r="B35" s="302" t="s">
        <v>1110</v>
      </c>
      <c r="C35" s="302">
        <v>614338042</v>
      </c>
      <c r="D35" s="191" t="s">
        <v>454</v>
      </c>
      <c r="E35" s="302">
        <v>839032</v>
      </c>
      <c r="F35" s="302">
        <v>656159</v>
      </c>
      <c r="G35" s="302" t="s">
        <v>1113</v>
      </c>
      <c r="H35" s="180" t="s">
        <v>552</v>
      </c>
      <c r="I35" s="180" t="s">
        <v>580</v>
      </c>
      <c r="J35" s="180">
        <v>5.8</v>
      </c>
      <c r="K35" s="292">
        <v>2005</v>
      </c>
      <c r="L35" s="179" t="s">
        <v>581</v>
      </c>
    </row>
    <row r="36" spans="1:14">
      <c r="A36" s="291"/>
      <c r="B36" s="303" t="s">
        <v>1111</v>
      </c>
      <c r="C36" s="303">
        <v>614338040</v>
      </c>
      <c r="D36" s="191" t="s">
        <v>454</v>
      </c>
      <c r="E36" s="303">
        <v>839032</v>
      </c>
      <c r="F36" s="303">
        <v>210059038</v>
      </c>
      <c r="G36" s="303" t="s">
        <v>1114</v>
      </c>
      <c r="H36" s="182" t="s">
        <v>455</v>
      </c>
      <c r="I36" s="182" t="s">
        <v>580</v>
      </c>
      <c r="J36" s="182">
        <v>25</v>
      </c>
      <c r="K36" s="293">
        <v>1002</v>
      </c>
      <c r="L36" s="179" t="s">
        <v>606</v>
      </c>
    </row>
    <row r="37" spans="1:14">
      <c r="A37" s="291"/>
      <c r="B37" s="303" t="s">
        <v>1112</v>
      </c>
      <c r="C37" s="303">
        <v>614338465</v>
      </c>
      <c r="D37" s="191" t="s">
        <v>454</v>
      </c>
      <c r="E37" s="303">
        <v>839032</v>
      </c>
      <c r="F37" s="303">
        <v>210012379</v>
      </c>
      <c r="G37" s="303" t="s">
        <v>1115</v>
      </c>
      <c r="H37" s="182" t="s">
        <v>455</v>
      </c>
      <c r="I37" s="182" t="s">
        <v>580</v>
      </c>
      <c r="J37" s="182">
        <v>60.3</v>
      </c>
      <c r="K37" s="293">
        <v>1001</v>
      </c>
      <c r="L37" s="179" t="s">
        <v>612</v>
      </c>
    </row>
    <row r="38" spans="1:14" ht="16" thickBot="1">
      <c r="A38" s="291"/>
      <c r="B38" s="300"/>
      <c r="C38" s="194"/>
      <c r="D38" s="194"/>
      <c r="E38" s="194"/>
      <c r="F38" s="194"/>
      <c r="G38" s="194"/>
      <c r="H38" s="194"/>
      <c r="I38" s="194"/>
      <c r="J38" s="194"/>
      <c r="K38" s="294"/>
      <c r="L38" s="291"/>
    </row>
    <row r="40" spans="1:14" ht="16" thickBot="1">
      <c r="A40" s="164" t="s">
        <v>582</v>
      </c>
      <c r="B40" s="185" t="s">
        <v>444</v>
      </c>
      <c r="C40" s="185" t="s">
        <v>445</v>
      </c>
      <c r="D40" s="185" t="s">
        <v>447</v>
      </c>
      <c r="E40" s="185" t="s">
        <v>550</v>
      </c>
      <c r="F40" s="185" t="s">
        <v>446</v>
      </c>
      <c r="G40" s="185" t="s">
        <v>551</v>
      </c>
      <c r="H40" s="185" t="s">
        <v>448</v>
      </c>
      <c r="I40" s="185" t="s">
        <v>449</v>
      </c>
      <c r="J40" s="185" t="s">
        <v>450</v>
      </c>
      <c r="K40" s="185" t="s">
        <v>419</v>
      </c>
      <c r="L40" s="196" t="s">
        <v>571</v>
      </c>
      <c r="N40" s="179" t="s">
        <v>559</v>
      </c>
    </row>
    <row r="41" spans="1:14">
      <c r="A41" s="291"/>
      <c r="B41" s="296" t="s">
        <v>583</v>
      </c>
      <c r="C41" s="190">
        <v>12751975</v>
      </c>
      <c r="D41" s="190" t="s">
        <v>577</v>
      </c>
      <c r="E41" s="190">
        <v>807363</v>
      </c>
      <c r="F41" s="190">
        <v>804538</v>
      </c>
      <c r="G41" s="190" t="s">
        <v>584</v>
      </c>
      <c r="H41" s="190" t="s">
        <v>455</v>
      </c>
      <c r="I41" s="190" t="s">
        <v>585</v>
      </c>
      <c r="J41" s="180">
        <v>25</v>
      </c>
      <c r="K41" s="292"/>
      <c r="L41" s="291"/>
      <c r="N41" s="186" t="s">
        <v>574</v>
      </c>
    </row>
    <row r="42" spans="1:14">
      <c r="A42" s="291"/>
      <c r="B42" s="297" t="s">
        <v>607</v>
      </c>
      <c r="C42" s="191">
        <v>907634439</v>
      </c>
      <c r="D42" s="191" t="s">
        <v>577</v>
      </c>
      <c r="E42" s="191">
        <v>847922</v>
      </c>
      <c r="F42" s="191">
        <v>665815</v>
      </c>
      <c r="G42" s="191" t="s">
        <v>608</v>
      </c>
      <c r="H42" s="191" t="s">
        <v>455</v>
      </c>
      <c r="I42" s="191" t="s">
        <v>460</v>
      </c>
      <c r="J42" s="182">
        <v>11</v>
      </c>
      <c r="K42" s="293"/>
      <c r="L42" s="291"/>
      <c r="N42" s="187"/>
    </row>
    <row r="43" spans="1:14">
      <c r="A43" s="291"/>
      <c r="B43" s="297" t="s">
        <v>614</v>
      </c>
      <c r="C43" s="191">
        <v>218240307</v>
      </c>
      <c r="D43" s="191" t="s">
        <v>577</v>
      </c>
      <c r="E43" s="191">
        <v>802069</v>
      </c>
      <c r="F43" s="191">
        <v>914262</v>
      </c>
      <c r="G43" s="191" t="s">
        <v>613</v>
      </c>
      <c r="H43" s="191" t="s">
        <v>455</v>
      </c>
      <c r="I43" s="191" t="s">
        <v>585</v>
      </c>
      <c r="J43" s="182">
        <v>14</v>
      </c>
      <c r="K43" s="293"/>
      <c r="L43" s="291"/>
      <c r="N43" s="187"/>
    </row>
    <row r="44" spans="1:14" ht="16" thickBot="1">
      <c r="A44" s="291"/>
      <c r="B44" s="298"/>
      <c r="C44" s="195"/>
      <c r="D44" s="195"/>
      <c r="E44" s="195"/>
      <c r="F44" s="195"/>
      <c r="G44" s="195"/>
      <c r="H44" s="195"/>
      <c r="I44" s="195"/>
      <c r="J44" s="194"/>
      <c r="K44" s="294"/>
      <c r="L44" s="291"/>
      <c r="N44" s="187"/>
    </row>
    <row r="45" spans="1:14">
      <c r="N45" s="187"/>
    </row>
    <row r="46" spans="1:14">
      <c r="A46" s="164" t="s">
        <v>557</v>
      </c>
      <c r="B46" s="185" t="s">
        <v>444</v>
      </c>
      <c r="C46" s="185" t="s">
        <v>445</v>
      </c>
      <c r="D46" s="185" t="s">
        <v>447</v>
      </c>
      <c r="E46" s="185" t="s">
        <v>550</v>
      </c>
      <c r="F46" s="185" t="s">
        <v>446</v>
      </c>
      <c r="G46" s="185" t="s">
        <v>551</v>
      </c>
      <c r="H46" s="185" t="s">
        <v>448</v>
      </c>
      <c r="I46" s="185" t="s">
        <v>449</v>
      </c>
      <c r="J46" s="185" t="s">
        <v>450</v>
      </c>
      <c r="K46" s="185" t="s">
        <v>419</v>
      </c>
      <c r="L46" s="196" t="s">
        <v>571</v>
      </c>
    </row>
    <row r="47" spans="1:14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</row>
    <row r="48" spans="1:14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</row>
    <row r="49" spans="1:1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1B92-B879-4577-8E3D-1A7DF9A19B51}">
  <dimension ref="A1:R22"/>
  <sheetViews>
    <sheetView zoomScaleNormal="100" workbookViewId="0">
      <selection sqref="A1:Q1"/>
    </sheetView>
  </sheetViews>
  <sheetFormatPr baseColWidth="10" defaultColWidth="11" defaultRowHeight="13"/>
  <cols>
    <col min="1" max="1" width="20" style="76" customWidth="1"/>
    <col min="2" max="3" width="11" style="76" customWidth="1"/>
    <col min="4" max="4" width="12.5" style="76" customWidth="1"/>
    <col min="5" max="5" width="12.83203125" style="76" customWidth="1"/>
    <col min="6" max="9" width="11" style="76" customWidth="1"/>
    <col min="10" max="10" width="20.5" style="76" customWidth="1"/>
    <col min="11" max="17" width="11" style="76" customWidth="1"/>
    <col min="18" max="18" width="4" style="76" customWidth="1"/>
    <col min="19" max="19" width="11" style="76" customWidth="1"/>
    <col min="20" max="16384" width="11" style="76"/>
  </cols>
  <sheetData>
    <row r="1" spans="1:18" s="80" customFormat="1" ht="38.25" customHeight="1">
      <c r="A1" s="214" t="s">
        <v>461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81"/>
    </row>
    <row r="2" spans="1:18" s="80" customFormat="1" ht="13.5" customHeight="1">
      <c r="A2" s="216" t="s">
        <v>109</v>
      </c>
      <c r="B2" s="217"/>
      <c r="C2" s="217"/>
      <c r="D2" s="217"/>
      <c r="E2" s="217"/>
      <c r="F2" s="217"/>
      <c r="G2" s="217"/>
      <c r="H2" s="218"/>
      <c r="I2" s="82"/>
      <c r="J2" s="219" t="s">
        <v>58</v>
      </c>
      <c r="K2" s="220"/>
      <c r="L2" s="220"/>
      <c r="M2" s="220"/>
      <c r="N2" s="220"/>
      <c r="O2" s="220"/>
      <c r="P2" s="220"/>
      <c r="Q2" s="221"/>
      <c r="R2" s="83"/>
    </row>
    <row r="3" spans="1:18" s="80" customFormat="1" ht="13.5" customHeight="1">
      <c r="A3" s="208" t="s">
        <v>462</v>
      </c>
      <c r="B3" s="209"/>
      <c r="C3" s="209"/>
      <c r="D3" s="209"/>
      <c r="E3" s="209"/>
      <c r="F3" s="209"/>
      <c r="G3" s="209"/>
      <c r="H3" s="210"/>
      <c r="I3" s="82"/>
      <c r="J3" s="211" t="s">
        <v>462</v>
      </c>
      <c r="K3" s="212"/>
      <c r="L3" s="212"/>
      <c r="M3" s="212"/>
      <c r="N3" s="212"/>
      <c r="O3" s="212"/>
      <c r="P3" s="212"/>
      <c r="Q3" s="213"/>
      <c r="R3" s="83"/>
    </row>
    <row r="4" spans="1:18" s="80" customFormat="1" ht="15.75" customHeight="1">
      <c r="A4" s="84" t="s">
        <v>146</v>
      </c>
      <c r="B4" s="85" t="s">
        <v>463</v>
      </c>
      <c r="C4" s="85" t="s">
        <v>464</v>
      </c>
      <c r="D4" s="85" t="s">
        <v>169</v>
      </c>
      <c r="E4" s="86" t="s">
        <v>172</v>
      </c>
      <c r="F4" s="87"/>
      <c r="G4" s="87"/>
      <c r="H4" s="87"/>
      <c r="I4" s="82"/>
      <c r="J4" s="88" t="s">
        <v>146</v>
      </c>
      <c r="K4" s="89" t="s">
        <v>465</v>
      </c>
      <c r="L4" s="89" t="s">
        <v>466</v>
      </c>
      <c r="M4" s="89" t="s">
        <v>467</v>
      </c>
      <c r="N4" s="89" t="s">
        <v>468</v>
      </c>
      <c r="O4" s="89" t="s">
        <v>164</v>
      </c>
      <c r="P4" s="89" t="s">
        <v>165</v>
      </c>
      <c r="Q4" s="90" t="s">
        <v>167</v>
      </c>
      <c r="R4" s="83"/>
    </row>
    <row r="5" spans="1:18" s="80" customFormat="1" ht="13.5" customHeight="1">
      <c r="A5" s="91" t="s">
        <v>469</v>
      </c>
      <c r="B5" s="92">
        <v>46137</v>
      </c>
      <c r="C5" s="92">
        <v>46137</v>
      </c>
      <c r="D5" s="92">
        <v>46167</v>
      </c>
      <c r="E5" s="93">
        <v>45683</v>
      </c>
      <c r="F5" s="87"/>
      <c r="G5" s="87"/>
      <c r="H5" s="87"/>
      <c r="I5" s="82"/>
      <c r="J5" s="94" t="s">
        <v>469</v>
      </c>
      <c r="K5" s="95" t="s">
        <v>88</v>
      </c>
      <c r="L5" s="95" t="s">
        <v>88</v>
      </c>
      <c r="M5" s="95" t="s">
        <v>88</v>
      </c>
      <c r="N5" s="95" t="s">
        <v>88</v>
      </c>
      <c r="O5" s="95" t="s">
        <v>470</v>
      </c>
      <c r="P5" s="95" t="s">
        <v>471</v>
      </c>
      <c r="Q5" s="96">
        <v>46023</v>
      </c>
      <c r="R5" s="83"/>
    </row>
    <row r="6" spans="1:18" s="80" customFormat="1" ht="13.5" customHeight="1">
      <c r="A6" s="97"/>
      <c r="B6" s="87"/>
      <c r="C6" s="87"/>
      <c r="D6" s="87"/>
      <c r="E6" s="87"/>
      <c r="F6" s="87"/>
      <c r="G6" s="87"/>
      <c r="H6" s="87"/>
      <c r="I6" s="82"/>
      <c r="J6" s="82"/>
      <c r="K6" s="82"/>
      <c r="L6" s="82"/>
      <c r="M6" s="82"/>
      <c r="N6" s="82"/>
      <c r="O6" s="82"/>
      <c r="P6" s="82"/>
      <c r="Q6" s="83"/>
      <c r="R6" s="83"/>
    </row>
    <row r="7" spans="1:18" s="80" customFormat="1" ht="13.5" customHeight="1">
      <c r="A7" s="208" t="s">
        <v>472</v>
      </c>
      <c r="B7" s="209"/>
      <c r="C7" s="209"/>
      <c r="D7" s="209"/>
      <c r="E7" s="209"/>
      <c r="F7" s="209"/>
      <c r="G7" s="209"/>
      <c r="H7" s="210"/>
      <c r="I7" s="82"/>
      <c r="J7" s="211" t="s">
        <v>472</v>
      </c>
      <c r="K7" s="212"/>
      <c r="L7" s="212"/>
      <c r="M7" s="212"/>
      <c r="N7" s="212"/>
      <c r="O7" s="212"/>
      <c r="P7" s="212"/>
      <c r="Q7" s="213"/>
      <c r="R7" s="83"/>
    </row>
    <row r="8" spans="1:18" s="80" customFormat="1" ht="15.75" customHeight="1">
      <c r="A8" s="84" t="s">
        <v>473</v>
      </c>
      <c r="B8" s="85" t="s">
        <v>474</v>
      </c>
      <c r="C8" s="85" t="s">
        <v>475</v>
      </c>
      <c r="D8" s="85" t="s">
        <v>476</v>
      </c>
      <c r="E8" s="85" t="s">
        <v>477</v>
      </c>
      <c r="F8" s="85" t="s">
        <v>478</v>
      </c>
      <c r="G8" s="85" t="s">
        <v>479</v>
      </c>
      <c r="H8" s="86" t="s">
        <v>480</v>
      </c>
      <c r="I8" s="82"/>
      <c r="J8" s="98" t="s">
        <v>473</v>
      </c>
      <c r="K8" s="99" t="s">
        <v>481</v>
      </c>
      <c r="L8" s="100" t="s">
        <v>482</v>
      </c>
      <c r="M8" s="100" t="s">
        <v>483</v>
      </c>
      <c r="N8" s="100" t="s">
        <v>484</v>
      </c>
      <c r="O8" s="100" t="s">
        <v>485</v>
      </c>
      <c r="P8" s="100" t="s">
        <v>486</v>
      </c>
      <c r="Q8" s="101" t="s">
        <v>487</v>
      </c>
      <c r="R8" s="83"/>
    </row>
    <row r="9" spans="1:18" s="80" customFormat="1" ht="13.5" customHeight="1">
      <c r="A9" s="91" t="s">
        <v>469</v>
      </c>
      <c r="B9" s="92">
        <v>46078</v>
      </c>
      <c r="C9" s="92">
        <v>46078</v>
      </c>
      <c r="D9" s="102">
        <v>46106</v>
      </c>
      <c r="E9" s="92">
        <v>46023</v>
      </c>
      <c r="F9" s="92">
        <v>46023</v>
      </c>
      <c r="G9" s="92">
        <v>46078</v>
      </c>
      <c r="H9" s="93">
        <v>46078</v>
      </c>
      <c r="I9" s="82"/>
      <c r="J9" s="103" t="s">
        <v>469</v>
      </c>
      <c r="K9" s="104">
        <v>46023</v>
      </c>
      <c r="L9" s="102">
        <v>46016</v>
      </c>
      <c r="M9" s="102">
        <v>46106</v>
      </c>
      <c r="N9" s="102">
        <v>46047</v>
      </c>
      <c r="O9" s="102">
        <v>46106</v>
      </c>
      <c r="P9" s="102">
        <v>46106</v>
      </c>
      <c r="Q9" s="105">
        <v>46106</v>
      </c>
      <c r="R9" s="83"/>
    </row>
    <row r="10" spans="1:18" s="80" customFormat="1" ht="15.75" customHeight="1">
      <c r="A10" s="106"/>
      <c r="B10" s="82"/>
      <c r="C10" s="82"/>
      <c r="D10" s="82"/>
      <c r="E10" s="82"/>
      <c r="F10" s="82"/>
      <c r="G10" s="82"/>
      <c r="H10" s="82"/>
      <c r="I10" s="82"/>
      <c r="J10" s="107" t="s">
        <v>473</v>
      </c>
      <c r="K10" s="100" t="s">
        <v>488</v>
      </c>
      <c r="L10" s="100" t="s">
        <v>489</v>
      </c>
      <c r="M10" s="100" t="s">
        <v>490</v>
      </c>
      <c r="N10" s="100" t="s">
        <v>491</v>
      </c>
      <c r="O10" s="100" t="s">
        <v>492</v>
      </c>
      <c r="P10" s="100" t="s">
        <v>493</v>
      </c>
      <c r="Q10" s="101" t="s">
        <v>494</v>
      </c>
      <c r="R10" s="83"/>
    </row>
    <row r="11" spans="1:18" s="80" customFormat="1" ht="13.5" customHeight="1">
      <c r="A11" s="106"/>
      <c r="B11" s="82"/>
      <c r="C11" s="82"/>
      <c r="D11" s="82"/>
      <c r="E11" s="82"/>
      <c r="F11" s="82"/>
      <c r="G11" s="82"/>
      <c r="H11" s="82"/>
      <c r="I11" s="82"/>
      <c r="J11" s="94" t="s">
        <v>469</v>
      </c>
      <c r="K11" s="102">
        <v>46106</v>
      </c>
      <c r="L11" s="102">
        <v>46047</v>
      </c>
      <c r="M11" s="102">
        <v>46106</v>
      </c>
      <c r="N11" s="102">
        <v>46106</v>
      </c>
      <c r="O11" s="102">
        <v>46106</v>
      </c>
      <c r="P11" s="102">
        <v>46054</v>
      </c>
      <c r="Q11" s="105" t="s">
        <v>263</v>
      </c>
      <c r="R11" s="83"/>
    </row>
    <row r="12" spans="1:18" s="80" customFormat="1" ht="58.5" customHeight="1">
      <c r="A12" s="240" t="s">
        <v>495</v>
      </c>
      <c r="B12" s="241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9"/>
    </row>
    <row r="13" spans="1:18" s="80" customFormat="1" ht="45.75" customHeight="1"/>
    <row r="14" spans="1:18" s="80" customFormat="1" ht="13.5" customHeight="1">
      <c r="A14" s="224" t="s">
        <v>496</v>
      </c>
      <c r="B14" s="225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6"/>
    </row>
    <row r="15" spans="1:18" s="80" customFormat="1" ht="15.75" customHeight="1">
      <c r="A15" s="110" t="s">
        <v>497</v>
      </c>
      <c r="B15" s="227" t="s">
        <v>479</v>
      </c>
      <c r="C15" s="228"/>
      <c r="D15" s="228" t="s">
        <v>488</v>
      </c>
      <c r="E15" s="228"/>
      <c r="F15" s="229" t="s">
        <v>489</v>
      </c>
      <c r="G15" s="230"/>
      <c r="H15" s="229" t="s">
        <v>150</v>
      </c>
      <c r="I15" s="230"/>
      <c r="J15" s="229" t="s">
        <v>150</v>
      </c>
      <c r="K15" s="230"/>
      <c r="L15" s="228" t="s">
        <v>150</v>
      </c>
      <c r="M15" s="231"/>
    </row>
    <row r="16" spans="1:18" s="80" customFormat="1" ht="13.5" customHeight="1">
      <c r="A16" s="111" t="s">
        <v>469</v>
      </c>
      <c r="B16" s="232">
        <v>45986</v>
      </c>
      <c r="C16" s="222"/>
      <c r="D16" s="233">
        <v>46016</v>
      </c>
      <c r="E16" s="222"/>
      <c r="F16" s="233">
        <v>46047</v>
      </c>
      <c r="G16" s="222"/>
      <c r="H16" s="222" t="s">
        <v>150</v>
      </c>
      <c r="I16" s="222"/>
      <c r="J16" s="222" t="s">
        <v>150</v>
      </c>
      <c r="K16" s="222"/>
      <c r="L16" s="222" t="s">
        <v>150</v>
      </c>
      <c r="M16" s="223"/>
    </row>
    <row r="17" spans="1:13" s="80" customFormat="1" ht="13.5" customHeight="1"/>
    <row r="18" spans="1:13" s="80" customFormat="1" ht="13.5" customHeight="1">
      <c r="A18" s="224" t="s">
        <v>498</v>
      </c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5"/>
    </row>
    <row r="19" spans="1:13" s="80" customFormat="1" ht="15.75" customHeight="1">
      <c r="A19" s="112" t="s">
        <v>497</v>
      </c>
      <c r="B19" s="246" t="s">
        <v>164</v>
      </c>
      <c r="C19" s="247"/>
      <c r="D19" s="238" t="s">
        <v>167</v>
      </c>
      <c r="E19" s="238"/>
      <c r="F19" s="238" t="s">
        <v>172</v>
      </c>
      <c r="G19" s="238"/>
      <c r="H19" s="238" t="s">
        <v>169</v>
      </c>
      <c r="I19" s="238"/>
      <c r="J19" s="238" t="s">
        <v>150</v>
      </c>
      <c r="K19" s="238"/>
      <c r="L19" s="238" t="s">
        <v>150</v>
      </c>
      <c r="M19" s="239"/>
    </row>
    <row r="20" spans="1:13" s="80" customFormat="1" ht="13.5" customHeight="1">
      <c r="A20" s="113" t="s">
        <v>469</v>
      </c>
      <c r="B20" s="234">
        <v>46016</v>
      </c>
      <c r="C20" s="235"/>
      <c r="D20" s="236">
        <v>46023</v>
      </c>
      <c r="E20" s="237"/>
      <c r="F20" s="236">
        <v>46023</v>
      </c>
      <c r="G20" s="237"/>
      <c r="H20" s="236">
        <v>45986</v>
      </c>
      <c r="I20" s="237"/>
      <c r="J20" s="237" t="s">
        <v>150</v>
      </c>
      <c r="K20" s="237"/>
      <c r="L20" s="237" t="s">
        <v>150</v>
      </c>
      <c r="M20" s="243"/>
    </row>
    <row r="21" spans="1:13" s="80" customFormat="1" ht="15.75" customHeight="1">
      <c r="A21" s="112" t="s">
        <v>497</v>
      </c>
      <c r="B21" s="227" t="s">
        <v>150</v>
      </c>
      <c r="C21" s="228"/>
      <c r="D21" s="228" t="s">
        <v>150</v>
      </c>
      <c r="E21" s="228"/>
      <c r="F21" s="228" t="s">
        <v>150</v>
      </c>
      <c r="G21" s="228"/>
      <c r="H21" s="228" t="s">
        <v>150</v>
      </c>
      <c r="I21" s="228"/>
      <c r="J21" s="228" t="s">
        <v>150</v>
      </c>
      <c r="K21" s="228"/>
      <c r="L21" s="228" t="s">
        <v>150</v>
      </c>
      <c r="M21" s="231"/>
    </row>
    <row r="22" spans="1:13" s="80" customFormat="1" ht="13.5" customHeight="1">
      <c r="A22" s="113" t="s">
        <v>469</v>
      </c>
      <c r="B22" s="242" t="s">
        <v>150</v>
      </c>
      <c r="C22" s="222"/>
      <c r="D22" s="222" t="s">
        <v>150</v>
      </c>
      <c r="E22" s="222"/>
      <c r="F22" s="222" t="s">
        <v>150</v>
      </c>
      <c r="G22" s="222"/>
      <c r="H22" s="222" t="s">
        <v>150</v>
      </c>
      <c r="I22" s="222"/>
      <c r="J22" s="222" t="s">
        <v>150</v>
      </c>
      <c r="K22" s="222"/>
      <c r="L22" s="222" t="s">
        <v>150</v>
      </c>
      <c r="M22" s="223"/>
    </row>
  </sheetData>
  <mergeCells count="46">
    <mergeCell ref="A12:B12"/>
    <mergeCell ref="L22:M22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0:M20"/>
    <mergeCell ref="A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16:M16"/>
    <mergeCell ref="A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A7:H7"/>
    <mergeCell ref="J7:Q7"/>
    <mergeCell ref="A1:Q1"/>
    <mergeCell ref="A2:H2"/>
    <mergeCell ref="J2:Q2"/>
    <mergeCell ref="A3:H3"/>
    <mergeCell ref="J3:Q3"/>
  </mergeCells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3C1C-50F4-44BC-82DD-8FCD5A3800C7}">
  <dimension ref="A1:M32"/>
  <sheetViews>
    <sheetView workbookViewId="0">
      <pane ySplit="30" topLeftCell="A31" activePane="bottomLeft" state="frozen"/>
      <selection pane="bottomLeft" activeCell="C32" sqref="C32"/>
    </sheetView>
  </sheetViews>
  <sheetFormatPr baseColWidth="10" defaultColWidth="9.1640625" defaultRowHeight="13"/>
  <cols>
    <col min="1" max="1" width="48.5" style="76" customWidth="1"/>
    <col min="2" max="2" width="53.6640625" style="76" customWidth="1"/>
    <col min="3" max="4" width="38.5" style="76" customWidth="1"/>
    <col min="5" max="5" width="20" style="76" customWidth="1"/>
    <col min="6" max="6" width="22.6640625" style="76" customWidth="1"/>
    <col min="7" max="7" width="12.5" style="76" customWidth="1"/>
    <col min="8" max="8" width="46.6640625" style="76" customWidth="1"/>
    <col min="9" max="9" width="18.5" style="76" customWidth="1"/>
    <col min="10" max="10" width="9.1640625" style="76" customWidth="1"/>
    <col min="11" max="11" width="10.5" style="76" customWidth="1"/>
    <col min="12" max="12" width="11.83203125" style="76" customWidth="1"/>
    <col min="13" max="14" width="9.1640625" style="76" customWidth="1"/>
    <col min="15" max="16384" width="9.1640625" style="76"/>
  </cols>
  <sheetData>
    <row r="1" spans="1:10">
      <c r="A1" s="207" t="s">
        <v>385</v>
      </c>
    </row>
    <row r="2" spans="1:10">
      <c r="A2" s="77" t="s">
        <v>10</v>
      </c>
      <c r="B2" s="76" t="s">
        <v>11</v>
      </c>
      <c r="C2" s="76" t="s">
        <v>386</v>
      </c>
      <c r="D2" s="76" t="s">
        <v>6</v>
      </c>
      <c r="E2" s="76" t="s">
        <v>387</v>
      </c>
    </row>
    <row r="3" spans="1:10">
      <c r="A3" s="77" t="s">
        <v>388</v>
      </c>
      <c r="B3" s="76" t="s">
        <v>389</v>
      </c>
      <c r="C3" s="77" t="s">
        <v>390</v>
      </c>
      <c r="D3" s="76" t="s">
        <v>391</v>
      </c>
      <c r="E3" s="77" t="s">
        <v>392</v>
      </c>
      <c r="F3" s="76" t="s">
        <v>393</v>
      </c>
      <c r="G3" s="77" t="s">
        <v>394</v>
      </c>
      <c r="H3" s="76" t="s">
        <v>395</v>
      </c>
      <c r="I3" s="77" t="s">
        <v>396</v>
      </c>
      <c r="J3" s="76" t="s">
        <v>397</v>
      </c>
    </row>
    <row r="4" spans="1:10">
      <c r="A4" s="77" t="s">
        <v>398</v>
      </c>
      <c r="B4" s="76">
        <v>209</v>
      </c>
      <c r="C4" s="77" t="s">
        <v>399</v>
      </c>
      <c r="D4" s="76">
        <v>208</v>
      </c>
      <c r="E4" s="77" t="s">
        <v>400</v>
      </c>
      <c r="F4" s="76">
        <v>207</v>
      </c>
    </row>
    <row r="6" spans="1:10">
      <c r="A6" s="77" t="s">
        <v>401</v>
      </c>
    </row>
    <row r="7" spans="1:10">
      <c r="A7" s="76" t="s">
        <v>402</v>
      </c>
      <c r="B7" s="76" t="s">
        <v>403</v>
      </c>
    </row>
    <row r="8" spans="1:10">
      <c r="A8" s="76" t="s">
        <v>404</v>
      </c>
      <c r="B8" s="76">
        <v>2</v>
      </c>
    </row>
    <row r="9" spans="1:10">
      <c r="A9" s="76" t="s">
        <v>405</v>
      </c>
      <c r="B9" s="76">
        <v>0</v>
      </c>
    </row>
    <row r="10" spans="1:10">
      <c r="A10" s="76" t="s">
        <v>406</v>
      </c>
      <c r="B10" s="76">
        <v>210</v>
      </c>
      <c r="C10" s="76">
        <v>209</v>
      </c>
      <c r="D10" s="76">
        <v>-1</v>
      </c>
    </row>
    <row r="11" spans="1:10">
      <c r="A11" s="76" t="s">
        <v>407</v>
      </c>
      <c r="B11" s="76">
        <v>33.9</v>
      </c>
    </row>
    <row r="12" spans="1:10">
      <c r="A12" s="76" t="s">
        <v>408</v>
      </c>
      <c r="B12" s="76">
        <v>0</v>
      </c>
      <c r="C12" s="76">
        <v>0</v>
      </c>
    </row>
    <row r="13" spans="1:10">
      <c r="A13" s="76" t="s">
        <v>409</v>
      </c>
      <c r="B13" s="76" t="s">
        <v>410</v>
      </c>
    </row>
    <row r="15" spans="1:10">
      <c r="A15" s="77" t="s">
        <v>411</v>
      </c>
    </row>
    <row r="16" spans="1:10" ht="14">
      <c r="A16" s="78" t="s">
        <v>412</v>
      </c>
      <c r="B16" s="76" t="s">
        <v>413</v>
      </c>
      <c r="C16" s="76" t="s">
        <v>414</v>
      </c>
      <c r="D16" s="76" t="s">
        <v>415</v>
      </c>
      <c r="E16" s="76" t="s">
        <v>416</v>
      </c>
      <c r="F16" s="76" t="s">
        <v>417</v>
      </c>
      <c r="G16" s="76" t="s">
        <v>418</v>
      </c>
    </row>
    <row r="17" spans="1:13">
      <c r="A17" s="76" t="s">
        <v>419</v>
      </c>
      <c r="B17" s="76" t="s">
        <v>420</v>
      </c>
      <c r="C17" s="76" t="s">
        <v>421</v>
      </c>
      <c r="D17" s="76" t="s">
        <v>421</v>
      </c>
      <c r="E17" s="76">
        <v>2</v>
      </c>
      <c r="F17" s="76" t="s">
        <v>422</v>
      </c>
      <c r="G17" s="76" t="s">
        <v>395</v>
      </c>
    </row>
    <row r="18" spans="1:13">
      <c r="A18" s="76" t="s">
        <v>423</v>
      </c>
      <c r="B18" s="76" t="s">
        <v>424</v>
      </c>
      <c r="C18" s="76" t="s">
        <v>425</v>
      </c>
      <c r="D18" s="76" t="s">
        <v>425</v>
      </c>
      <c r="E18" s="76">
        <v>0</v>
      </c>
      <c r="F18" s="76" t="s">
        <v>395</v>
      </c>
      <c r="G18" s="76" t="s">
        <v>426</v>
      </c>
    </row>
    <row r="19" spans="1:13">
      <c r="A19" s="76" t="s">
        <v>423</v>
      </c>
      <c r="B19" s="76" t="s">
        <v>427</v>
      </c>
      <c r="C19" s="76" t="s">
        <v>428</v>
      </c>
      <c r="D19" s="76" t="s">
        <v>428</v>
      </c>
      <c r="E19" s="76">
        <v>0</v>
      </c>
      <c r="F19" s="76" t="s">
        <v>395</v>
      </c>
      <c r="G19" s="76" t="s">
        <v>429</v>
      </c>
    </row>
    <row r="20" spans="1:13" ht="14">
      <c r="A20" s="76" t="s">
        <v>430</v>
      </c>
      <c r="B20" s="76" t="s">
        <v>431</v>
      </c>
      <c r="C20" s="79" t="s">
        <v>432</v>
      </c>
      <c r="D20" s="76" t="s">
        <v>432</v>
      </c>
      <c r="E20" s="76">
        <v>0</v>
      </c>
      <c r="F20" s="76" t="s">
        <v>395</v>
      </c>
      <c r="G20" s="76" t="s">
        <v>395</v>
      </c>
    </row>
    <row r="23" spans="1:13">
      <c r="A23" s="77" t="s">
        <v>433</v>
      </c>
    </row>
    <row r="24" spans="1:13" ht="14">
      <c r="A24" s="78" t="s">
        <v>434</v>
      </c>
      <c r="B24" s="76" t="s">
        <v>435</v>
      </c>
      <c r="C24" s="76" t="s">
        <v>436</v>
      </c>
      <c r="D24" s="76" t="s">
        <v>416</v>
      </c>
      <c r="E24" s="76" t="s">
        <v>437</v>
      </c>
    </row>
    <row r="25" spans="1:13">
      <c r="A25" s="76" t="s">
        <v>438</v>
      </c>
      <c r="B25" s="76" t="s">
        <v>438</v>
      </c>
      <c r="C25" s="76" t="s">
        <v>439</v>
      </c>
      <c r="D25" s="76">
        <v>1</v>
      </c>
      <c r="E25" s="76" t="s">
        <v>440</v>
      </c>
    </row>
    <row r="26" spans="1:13" ht="14">
      <c r="A26" s="79" t="s">
        <v>441</v>
      </c>
      <c r="B26" s="76" t="s">
        <v>441</v>
      </c>
      <c r="C26" s="76" t="s">
        <v>439</v>
      </c>
      <c r="D26" s="76">
        <v>1</v>
      </c>
      <c r="E26" s="76" t="s">
        <v>442</v>
      </c>
    </row>
    <row r="29" spans="1:13">
      <c r="A29" s="77" t="s">
        <v>443</v>
      </c>
    </row>
    <row r="30" spans="1:13" ht="14">
      <c r="A30" s="78" t="s">
        <v>412</v>
      </c>
      <c r="B30" s="76" t="s">
        <v>413</v>
      </c>
      <c r="C30" s="76" t="s">
        <v>444</v>
      </c>
      <c r="D30" s="76" t="s">
        <v>445</v>
      </c>
      <c r="E30" s="76" t="s">
        <v>446</v>
      </c>
      <c r="F30" s="76" t="s">
        <v>447</v>
      </c>
      <c r="G30" s="76" t="s">
        <v>448</v>
      </c>
      <c r="H30" s="76" t="s">
        <v>449</v>
      </c>
      <c r="I30" s="76" t="s">
        <v>450</v>
      </c>
      <c r="J30" s="76" t="s">
        <v>419</v>
      </c>
      <c r="K30" s="76" t="s">
        <v>451</v>
      </c>
      <c r="L30" s="76" t="s">
        <v>394</v>
      </c>
      <c r="M30" s="76" t="s">
        <v>452</v>
      </c>
    </row>
    <row r="31" spans="1:13">
      <c r="A31" s="76" t="s">
        <v>419</v>
      </c>
      <c r="B31" s="76" t="s">
        <v>420</v>
      </c>
      <c r="C31" s="76" t="s">
        <v>422</v>
      </c>
      <c r="D31" s="76" t="s">
        <v>453</v>
      </c>
      <c r="E31" s="76">
        <v>638845</v>
      </c>
      <c r="F31" s="76" t="s">
        <v>454</v>
      </c>
      <c r="G31" s="76" t="s">
        <v>455</v>
      </c>
      <c r="H31" s="76" t="s">
        <v>456</v>
      </c>
      <c r="I31" s="76">
        <v>30.1</v>
      </c>
      <c r="J31" s="76" t="s">
        <v>395</v>
      </c>
      <c r="L31" s="76" t="s">
        <v>395</v>
      </c>
      <c r="M31" s="76">
        <v>82</v>
      </c>
    </row>
    <row r="32" spans="1:13">
      <c r="A32" s="76" t="s">
        <v>419</v>
      </c>
      <c r="B32" s="76" t="s">
        <v>420</v>
      </c>
      <c r="C32" s="76" t="s">
        <v>457</v>
      </c>
      <c r="D32" s="76" t="s">
        <v>458</v>
      </c>
      <c r="E32" s="76">
        <v>652001</v>
      </c>
      <c r="F32" s="76" t="s">
        <v>459</v>
      </c>
      <c r="G32" s="76" t="s">
        <v>455</v>
      </c>
      <c r="H32" s="76" t="s">
        <v>460</v>
      </c>
      <c r="I32" s="76">
        <v>18.2</v>
      </c>
      <c r="J32" s="76" t="s">
        <v>395</v>
      </c>
      <c r="L32" s="76" t="s">
        <v>395</v>
      </c>
      <c r="M32" s="76">
        <v>218</v>
      </c>
    </row>
  </sheetData>
  <autoFilter ref="A32" xr:uid="{00000000-0009-0000-0000-000004000000}"/>
  <mergeCells count="1">
    <mergeCell ref="A1"/>
  </mergeCells>
  <conditionalFormatting sqref="A20">
    <cfRule type="expression" dxfId="4" priority="1">
      <formula>ISNUMBER(SEARCH("Error",A1))</formula>
    </cfRule>
    <cfRule type="expression" dxfId="3" priority="2">
      <formula>ISNUMBER(SEARCH("Warn",A1))</formula>
    </cfRule>
  </conditionalFormatting>
  <conditionalFormatting sqref="A32">
    <cfRule type="expression" dxfId="2" priority="3">
      <formula>ISNUMBER(SEARCH("Error",A1))</formula>
    </cfRule>
    <cfRule type="expression" dxfId="1" priority="4">
      <formula>ISNUMBER(SEARCH("Warn",A1))</formula>
    </cfRule>
  </conditionalFormatting>
  <conditionalFormatting sqref="G32">
    <cfRule type="expression" dxfId="0" priority="5">
      <formula>ISNUMBER(SEARCH("Done",G1))</formula>
    </cfRule>
  </conditionalFormatting>
  <conditionalFormatting sqref="I32">
    <cfRule type="cellIs" priority="6" operator="greaterThan"/>
  </conditionalFormatting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9D95-C198-4275-844F-14237C90C40A}">
  <sheetPr codeName="Sheet5">
    <tabColor rgb="FFFFA219"/>
  </sheetPr>
  <dimension ref="A1:M29"/>
  <sheetViews>
    <sheetView zoomScaleNormal="100" workbookViewId="0"/>
  </sheetViews>
  <sheetFormatPr baseColWidth="10" defaultColWidth="8.83203125" defaultRowHeight="15"/>
  <cols>
    <col min="1" max="1" width="9.6640625" style="114" bestFit="1" customWidth="1"/>
    <col min="2" max="2" width="9.1640625" style="114" bestFit="1" customWidth="1"/>
    <col min="3" max="3" width="12.1640625" style="114" customWidth="1"/>
    <col min="4" max="4" width="14.5" style="114" bestFit="1" customWidth="1"/>
    <col min="5" max="5" width="15.1640625" style="114" bestFit="1" customWidth="1"/>
    <col min="6" max="6" width="12.1640625" style="114" bestFit="1" customWidth="1"/>
    <col min="7" max="7" width="18.1640625" style="114" bestFit="1" customWidth="1"/>
    <col min="8" max="8" width="9.1640625" style="114" bestFit="1" customWidth="1"/>
    <col min="10" max="10" width="9.1640625" customWidth="1"/>
    <col min="13" max="13" width="10.6640625" style="114" bestFit="1" customWidth="1"/>
  </cols>
  <sheetData>
    <row r="1" spans="1:8" s="114" customFormat="1" ht="15.75" customHeight="1"/>
    <row r="2" spans="1:8" s="114" customFormat="1" ht="24" customHeight="1">
      <c r="A2" s="264" t="s">
        <v>499</v>
      </c>
      <c r="B2" s="265"/>
      <c r="C2" s="265"/>
      <c r="D2" s="265"/>
      <c r="E2" s="265"/>
      <c r="F2" s="265"/>
      <c r="G2" s="265"/>
      <c r="H2" s="266"/>
    </row>
    <row r="3" spans="1:8" s="114" customFormat="1" ht="15.75" customHeight="1">
      <c r="A3" s="115"/>
      <c r="B3" s="116"/>
      <c r="C3" s="116"/>
      <c r="D3" s="117"/>
      <c r="E3" s="116"/>
      <c r="F3" s="116"/>
    </row>
    <row r="4" spans="1:8" s="114" customFormat="1" ht="15.75" customHeight="1">
      <c r="A4" s="118" t="s">
        <v>500</v>
      </c>
      <c r="B4" s="119" t="s">
        <v>501</v>
      </c>
      <c r="C4" s="119" t="s">
        <v>502</v>
      </c>
      <c r="D4" s="120" t="s">
        <v>503</v>
      </c>
      <c r="E4" s="119" t="s">
        <v>504</v>
      </c>
      <c r="F4" s="119" t="s">
        <v>505</v>
      </c>
      <c r="G4" s="121" t="s">
        <v>506</v>
      </c>
      <c r="H4" s="122" t="s">
        <v>507</v>
      </c>
    </row>
    <row r="5" spans="1:8" s="114" customFormat="1" ht="15" customHeight="1">
      <c r="A5" s="123" t="s">
        <v>508</v>
      </c>
      <c r="B5" s="256" t="s">
        <v>509</v>
      </c>
      <c r="C5" s="124" t="s">
        <v>510</v>
      </c>
      <c r="D5" s="125">
        <v>46446</v>
      </c>
      <c r="E5" s="253" t="s">
        <v>511</v>
      </c>
      <c r="F5" s="124" t="s">
        <v>512</v>
      </c>
      <c r="G5" s="125">
        <v>45989</v>
      </c>
      <c r="H5" s="126" t="s">
        <v>513</v>
      </c>
    </row>
    <row r="6" spans="1:8" s="114" customFormat="1" ht="15" customHeight="1">
      <c r="A6" s="127" t="s">
        <v>508</v>
      </c>
      <c r="B6" s="257"/>
      <c r="C6" s="128" t="s">
        <v>150</v>
      </c>
      <c r="D6" s="129" t="s">
        <v>150</v>
      </c>
      <c r="E6" s="254"/>
      <c r="F6" s="128" t="s">
        <v>150</v>
      </c>
      <c r="G6" s="129" t="s">
        <v>150</v>
      </c>
      <c r="H6" s="130" t="s">
        <v>150</v>
      </c>
    </row>
    <row r="7" spans="1:8" s="114" customFormat="1" ht="15" customHeight="1">
      <c r="A7" s="127" t="s">
        <v>508</v>
      </c>
      <c r="B7" s="257"/>
      <c r="C7" s="128" t="s">
        <v>150</v>
      </c>
      <c r="D7" s="129" t="s">
        <v>150</v>
      </c>
      <c r="E7" s="254"/>
      <c r="F7" s="128" t="s">
        <v>150</v>
      </c>
      <c r="G7" s="129" t="s">
        <v>150</v>
      </c>
      <c r="H7" s="130" t="s">
        <v>150</v>
      </c>
    </row>
    <row r="8" spans="1:8" s="114" customFormat="1" ht="15.75" customHeight="1">
      <c r="A8" s="131" t="s">
        <v>508</v>
      </c>
      <c r="B8" s="258"/>
      <c r="C8" s="132" t="s">
        <v>150</v>
      </c>
      <c r="D8" s="133" t="s">
        <v>150</v>
      </c>
      <c r="E8" s="255"/>
      <c r="F8" s="132" t="s">
        <v>150</v>
      </c>
      <c r="G8" s="133" t="s">
        <v>150</v>
      </c>
      <c r="H8" s="134" t="s">
        <v>150</v>
      </c>
    </row>
    <row r="9" spans="1:8" s="114" customFormat="1" ht="15.75" customHeight="1">
      <c r="A9" s="135" t="s">
        <v>500</v>
      </c>
      <c r="B9" s="136" t="s">
        <v>501</v>
      </c>
      <c r="C9" s="136" t="s">
        <v>502</v>
      </c>
      <c r="D9" s="137" t="s">
        <v>503</v>
      </c>
      <c r="E9" s="136" t="s">
        <v>504</v>
      </c>
      <c r="F9" s="136" t="s">
        <v>505</v>
      </c>
      <c r="G9" s="138" t="s">
        <v>506</v>
      </c>
      <c r="H9" s="139" t="s">
        <v>507</v>
      </c>
    </row>
    <row r="10" spans="1:8" s="114" customFormat="1" ht="15" customHeight="1">
      <c r="A10" s="123" t="s">
        <v>514</v>
      </c>
      <c r="B10" s="256" t="s">
        <v>515</v>
      </c>
      <c r="C10" s="124" t="s">
        <v>516</v>
      </c>
      <c r="D10" s="125">
        <v>46356</v>
      </c>
      <c r="E10" s="253" t="s">
        <v>511</v>
      </c>
      <c r="F10" s="124" t="s">
        <v>517</v>
      </c>
      <c r="G10" s="125">
        <v>45985</v>
      </c>
      <c r="H10" s="126" t="s">
        <v>518</v>
      </c>
    </row>
    <row r="11" spans="1:8" s="114" customFormat="1" ht="15" customHeight="1">
      <c r="A11" s="127" t="s">
        <v>514</v>
      </c>
      <c r="B11" s="257"/>
      <c r="C11" s="128" t="s">
        <v>150</v>
      </c>
      <c r="D11" s="129" t="s">
        <v>150</v>
      </c>
      <c r="E11" s="254"/>
      <c r="F11" s="128" t="s">
        <v>150</v>
      </c>
      <c r="G11" s="129" t="s">
        <v>150</v>
      </c>
      <c r="H11" s="130" t="s">
        <v>150</v>
      </c>
    </row>
    <row r="12" spans="1:8" s="114" customFormat="1" ht="15" customHeight="1">
      <c r="A12" s="127" t="s">
        <v>514</v>
      </c>
      <c r="B12" s="257"/>
      <c r="C12" s="128" t="s">
        <v>150</v>
      </c>
      <c r="D12" s="129" t="s">
        <v>150</v>
      </c>
      <c r="E12" s="254"/>
      <c r="F12" s="128" t="s">
        <v>150</v>
      </c>
      <c r="G12" s="129" t="s">
        <v>150</v>
      </c>
      <c r="H12" s="130" t="s">
        <v>150</v>
      </c>
    </row>
    <row r="13" spans="1:8" s="114" customFormat="1" ht="15.75" customHeight="1">
      <c r="A13" s="131" t="s">
        <v>514</v>
      </c>
      <c r="B13" s="258"/>
      <c r="C13" s="132" t="s">
        <v>150</v>
      </c>
      <c r="D13" s="133" t="s">
        <v>150</v>
      </c>
      <c r="E13" s="255"/>
      <c r="F13" s="132" t="s">
        <v>150</v>
      </c>
      <c r="G13" s="133" t="s">
        <v>150</v>
      </c>
      <c r="H13" s="134" t="s">
        <v>150</v>
      </c>
    </row>
    <row r="14" spans="1:8" s="114" customFormat="1" ht="15.75" customHeight="1">
      <c r="A14" s="116"/>
      <c r="B14" s="116"/>
      <c r="C14" s="116"/>
      <c r="D14" s="117"/>
      <c r="E14" s="116"/>
      <c r="F14" s="140"/>
      <c r="G14" s="117"/>
      <c r="H14" s="116"/>
    </row>
    <row r="15" spans="1:8" s="114" customFormat="1" ht="28.5" customHeight="1">
      <c r="A15" s="275" t="s">
        <v>519</v>
      </c>
      <c r="B15" s="276"/>
      <c r="C15" s="276"/>
      <c r="D15" s="276"/>
      <c r="E15" s="276"/>
      <c r="F15" s="276"/>
      <c r="G15" s="276"/>
      <c r="H15" s="277"/>
    </row>
    <row r="16" spans="1:8" s="114" customFormat="1" ht="15.75" customHeight="1">
      <c r="A16" s="280" t="s">
        <v>520</v>
      </c>
      <c r="B16" s="281"/>
      <c r="C16" s="281"/>
      <c r="D16" s="281"/>
      <c r="E16" s="281"/>
      <c r="F16" s="281"/>
      <c r="G16" s="281"/>
      <c r="H16" s="282"/>
    </row>
    <row r="17" spans="1:10" s="114" customFormat="1" ht="15.75" customHeight="1">
      <c r="A17" s="270" t="s">
        <v>521</v>
      </c>
      <c r="B17" s="271"/>
      <c r="C17" s="272"/>
      <c r="D17" s="273" t="s">
        <v>503</v>
      </c>
      <c r="E17" s="274"/>
      <c r="F17" s="141" t="s">
        <v>522</v>
      </c>
      <c r="G17" s="142" t="s">
        <v>506</v>
      </c>
      <c r="H17" s="143" t="s">
        <v>507</v>
      </c>
    </row>
    <row r="18" spans="1:10" s="114" customFormat="1" ht="15" customHeight="1">
      <c r="A18" s="267">
        <v>1001510545</v>
      </c>
      <c r="B18" s="268"/>
      <c r="C18" s="269"/>
      <c r="D18" s="278">
        <v>46156</v>
      </c>
      <c r="E18" s="279"/>
      <c r="F18" s="124" t="s">
        <v>523</v>
      </c>
      <c r="G18" s="125">
        <v>45982</v>
      </c>
      <c r="H18" s="126" t="s">
        <v>518</v>
      </c>
    </row>
    <row r="19" spans="1:10" s="114" customFormat="1" ht="15" customHeight="1">
      <c r="A19" s="259">
        <v>1001503562</v>
      </c>
      <c r="B19" s="260"/>
      <c r="C19" s="261"/>
      <c r="D19" s="262">
        <v>46111</v>
      </c>
      <c r="E19" s="263"/>
      <c r="F19" s="128" t="s">
        <v>524</v>
      </c>
      <c r="G19" s="129">
        <v>45985</v>
      </c>
      <c r="H19" s="130" t="s">
        <v>525</v>
      </c>
      <c r="J19" s="144"/>
    </row>
    <row r="20" spans="1:10" s="114" customFormat="1" ht="15" customHeight="1">
      <c r="A20" s="259" t="s">
        <v>150</v>
      </c>
      <c r="B20" s="260"/>
      <c r="C20" s="261"/>
      <c r="D20" s="262" t="s">
        <v>150</v>
      </c>
      <c r="E20" s="263"/>
      <c r="F20" s="128" t="s">
        <v>150</v>
      </c>
      <c r="G20" s="129" t="s">
        <v>150</v>
      </c>
      <c r="H20" s="130" t="s">
        <v>150</v>
      </c>
    </row>
    <row r="21" spans="1:10" s="114" customFormat="1" ht="15" customHeight="1">
      <c r="A21" s="248" t="s">
        <v>150</v>
      </c>
      <c r="B21" s="249"/>
      <c r="C21" s="250"/>
      <c r="D21" s="251" t="s">
        <v>150</v>
      </c>
      <c r="E21" s="252"/>
      <c r="F21" s="132" t="s">
        <v>150</v>
      </c>
      <c r="G21" s="133" t="s">
        <v>150</v>
      </c>
      <c r="H21" s="134" t="s">
        <v>150</v>
      </c>
    </row>
    <row r="22" spans="1:10" s="114" customFormat="1" ht="15.75" customHeight="1"/>
    <row r="23" spans="1:10" s="114" customFormat="1" ht="24" customHeight="1">
      <c r="A23" s="275" t="s">
        <v>526</v>
      </c>
      <c r="B23" s="283"/>
      <c r="C23" s="283"/>
      <c r="D23" s="283"/>
      <c r="E23" s="283"/>
      <c r="F23" s="283"/>
      <c r="G23" s="283"/>
      <c r="H23" s="284"/>
    </row>
    <row r="24" spans="1:10" s="114" customFormat="1" ht="15.75" customHeight="1">
      <c r="A24" s="280" t="s">
        <v>527</v>
      </c>
      <c r="B24" s="281"/>
      <c r="C24" s="281"/>
      <c r="D24" s="281"/>
      <c r="E24" s="281"/>
      <c r="F24" s="281"/>
      <c r="G24" s="281"/>
      <c r="H24" s="282"/>
    </row>
    <row r="25" spans="1:10" s="114" customFormat="1" ht="15.75" customHeight="1">
      <c r="A25" s="270" t="s">
        <v>521</v>
      </c>
      <c r="B25" s="271"/>
      <c r="C25" s="272"/>
      <c r="D25" s="273" t="s">
        <v>503</v>
      </c>
      <c r="E25" s="274"/>
      <c r="F25" s="145" t="s">
        <v>522</v>
      </c>
      <c r="G25" s="146" t="s">
        <v>506</v>
      </c>
      <c r="H25" s="147" t="s">
        <v>507</v>
      </c>
    </row>
    <row r="26" spans="1:10" s="114" customFormat="1" ht="15" customHeight="1">
      <c r="A26" s="267">
        <v>1001508989</v>
      </c>
      <c r="B26" s="268"/>
      <c r="C26" s="269"/>
      <c r="D26" s="278">
        <v>46087</v>
      </c>
      <c r="E26" s="279"/>
      <c r="F26" s="124" t="s">
        <v>528</v>
      </c>
      <c r="G26" s="125">
        <v>45982</v>
      </c>
      <c r="H26" s="126" t="s">
        <v>518</v>
      </c>
    </row>
    <row r="27" spans="1:10" s="114" customFormat="1" ht="15" customHeight="1">
      <c r="A27" s="259">
        <v>1001505209</v>
      </c>
      <c r="B27" s="260"/>
      <c r="C27" s="261"/>
      <c r="D27" s="262">
        <v>46063</v>
      </c>
      <c r="E27" s="263"/>
      <c r="F27" s="148">
        <v>30</v>
      </c>
      <c r="G27" s="149">
        <v>45979</v>
      </c>
      <c r="H27" s="150" t="s">
        <v>513</v>
      </c>
    </row>
    <row r="28" spans="1:10" s="114" customFormat="1" ht="15" customHeight="1">
      <c r="A28" s="259" t="s">
        <v>150</v>
      </c>
      <c r="B28" s="260"/>
      <c r="C28" s="261"/>
      <c r="D28" s="262" t="s">
        <v>150</v>
      </c>
      <c r="E28" s="263"/>
      <c r="F28" s="148" t="s">
        <v>150</v>
      </c>
      <c r="G28" s="149" t="s">
        <v>150</v>
      </c>
      <c r="H28" s="150" t="s">
        <v>150</v>
      </c>
    </row>
    <row r="29" spans="1:10" s="114" customFormat="1" ht="15.75" customHeight="1">
      <c r="A29" s="248" t="s">
        <v>150</v>
      </c>
      <c r="B29" s="249"/>
      <c r="C29" s="250"/>
      <c r="D29" s="251" t="s">
        <v>150</v>
      </c>
      <c r="E29" s="252"/>
      <c r="F29" s="151" t="s">
        <v>150</v>
      </c>
      <c r="G29" s="152" t="s">
        <v>150</v>
      </c>
      <c r="H29" s="153" t="s">
        <v>150</v>
      </c>
    </row>
  </sheetData>
  <sheetProtection algorithmName="SHA-512" hashValue="x8Q5c76O+TDZA8boLEIRAJojynqELCu6UJ3kEVnudowrJva19qxj7zwFqtYIqe2O7lJ34hXGGuBFoiDnDoeddA==" saltValue="gLTrhm7LjGfVllyuN3uqZw==" spinCount="100000" sheet="1" formatCells="0" formatColumns="0" formatRows="0" insertColumns="0" insertRows="0" insertHyperlinks="0" deleteColumns="0" deleteRows="0" sort="0" autoFilter="0" pivotTables="0"/>
  <mergeCells count="29">
    <mergeCell ref="A23:H23"/>
    <mergeCell ref="A24:H24"/>
    <mergeCell ref="A29:C29"/>
    <mergeCell ref="A28:C28"/>
    <mergeCell ref="A27:C27"/>
    <mergeCell ref="A26:C26"/>
    <mergeCell ref="D26:E26"/>
    <mergeCell ref="D27:E27"/>
    <mergeCell ref="D28:E28"/>
    <mergeCell ref="D29:E29"/>
    <mergeCell ref="A25:C25"/>
    <mergeCell ref="D25:E25"/>
    <mergeCell ref="A2:H2"/>
    <mergeCell ref="B5:B8"/>
    <mergeCell ref="E5:E8"/>
    <mergeCell ref="A18:C18"/>
    <mergeCell ref="A17:C17"/>
    <mergeCell ref="D17:E17"/>
    <mergeCell ref="A15:H15"/>
    <mergeCell ref="D18:E18"/>
    <mergeCell ref="A16:H16"/>
    <mergeCell ref="A21:C21"/>
    <mergeCell ref="D21:E21"/>
    <mergeCell ref="E10:E13"/>
    <mergeCell ref="B10:B13"/>
    <mergeCell ref="A20:C20"/>
    <mergeCell ref="D19:E19"/>
    <mergeCell ref="D20:E20"/>
    <mergeCell ref="A19:C19"/>
  </mergeCells>
  <pageMargins left="0.7" right="0.7" top="0.75" bottom="0.75" header="0.3" footer="0.3"/>
  <pageSetup paperSize="9" orientation="portrait" verticalDpi="0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69E4-27FD-418D-89E9-10DF6F838741}">
  <sheetPr>
    <tabColor rgb="FF0078D4"/>
  </sheetPr>
  <dimension ref="A1:B14"/>
  <sheetViews>
    <sheetView workbookViewId="0">
      <selection sqref="A1:B1"/>
    </sheetView>
  </sheetViews>
  <sheetFormatPr baseColWidth="10" defaultColWidth="8.83203125" defaultRowHeight="15"/>
  <cols>
    <col min="1" max="1" width="30" customWidth="1"/>
    <col min="2" max="2" width="55" customWidth="1"/>
  </cols>
  <sheetData>
    <row r="1" spans="1:2">
      <c r="A1" s="285" t="s">
        <v>529</v>
      </c>
      <c r="B1" s="286" t="s">
        <v>395</v>
      </c>
    </row>
    <row r="2" spans="1:2">
      <c r="A2" s="154" t="s">
        <v>530</v>
      </c>
      <c r="B2" s="156" t="s">
        <v>531</v>
      </c>
    </row>
    <row r="3" spans="1:2">
      <c r="A3" s="154" t="s">
        <v>532</v>
      </c>
      <c r="B3" s="156" t="s">
        <v>68</v>
      </c>
    </row>
    <row r="4" spans="1:2">
      <c r="A4" s="154" t="s">
        <v>533</v>
      </c>
      <c r="B4" s="156" t="s">
        <v>31</v>
      </c>
    </row>
    <row r="5" spans="1:2">
      <c r="A5" s="154" t="s">
        <v>12</v>
      </c>
      <c r="B5" s="156" t="s">
        <v>33</v>
      </c>
    </row>
    <row r="6" spans="1:2">
      <c r="A6" s="154" t="s">
        <v>534</v>
      </c>
      <c r="B6" s="156" t="s">
        <v>535</v>
      </c>
    </row>
    <row r="7" spans="1:2">
      <c r="A7" s="154" t="s">
        <v>536</v>
      </c>
      <c r="B7" s="156" t="s">
        <v>537</v>
      </c>
    </row>
    <row r="8" spans="1:2">
      <c r="A8" s="154" t="s">
        <v>538</v>
      </c>
      <c r="B8" s="156" t="s">
        <v>539</v>
      </c>
    </row>
    <row r="9" spans="1:2">
      <c r="A9" s="154" t="s">
        <v>540</v>
      </c>
      <c r="B9" s="158" t="s">
        <v>541</v>
      </c>
    </row>
    <row r="10" spans="1:2">
      <c r="A10" s="154" t="s">
        <v>542</v>
      </c>
      <c r="B10" s="156" t="s">
        <v>543</v>
      </c>
    </row>
    <row r="11" spans="1:2">
      <c r="A11" s="154" t="s">
        <v>544</v>
      </c>
      <c r="B11" s="156">
        <v>29000</v>
      </c>
    </row>
    <row r="12" spans="1:2">
      <c r="A12" s="154" t="s">
        <v>545</v>
      </c>
      <c r="B12" s="156">
        <v>27958</v>
      </c>
    </row>
    <row r="13" spans="1:2">
      <c r="A13" s="154" t="s">
        <v>546</v>
      </c>
      <c r="B13" s="156" t="s">
        <v>547</v>
      </c>
    </row>
    <row r="14" spans="1:2">
      <c r="A14" s="155" t="s">
        <v>548</v>
      </c>
      <c r="B14" s="157" t="s">
        <v>549</v>
      </c>
    </row>
  </sheetData>
  <mergeCells count="1">
    <mergeCell ref="A1:B1"/>
  </mergeCells>
  <pageMargins left="0.7" right="0.7" top="0.75" bottom="0.75" header="0.3" footer="0.3"/>
  <headerFooter differentOddEven="1" differentFirst="1">
    <oddHeader>&amp;C&amp;"Arial,Bold"&amp;14 UNCONTROLLED</oddHeader>
    <evenHeader>&amp;C&amp;"Arial,Bold"&amp;14 UNCONTROLLED</evenHeader>
    <firstHeader>&amp;C&amp;"Arial,Bold"&amp;14 UNCONTROLLED</first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DEF2-588C-7E44-8E37-D0C5C755046B}">
  <dimension ref="A1:K140"/>
  <sheetViews>
    <sheetView workbookViewId="0">
      <selection activeCell="D109" sqref="D109"/>
    </sheetView>
  </sheetViews>
  <sheetFormatPr baseColWidth="10" defaultColWidth="8.83203125" defaultRowHeight="15"/>
  <cols>
    <col min="1" max="1" width="16.6640625" bestFit="1" customWidth="1"/>
    <col min="2" max="2" width="21.5" bestFit="1" customWidth="1"/>
    <col min="3" max="3" width="3.6640625" bestFit="1" customWidth="1"/>
    <col min="4" max="4" width="97.5" bestFit="1" customWidth="1"/>
    <col min="5" max="5" width="59.5" bestFit="1" customWidth="1"/>
  </cols>
  <sheetData>
    <row r="1" spans="1:5">
      <c r="A1" s="197" t="s">
        <v>659</v>
      </c>
      <c r="B1" s="197" t="s">
        <v>660</v>
      </c>
      <c r="C1" s="197" t="s">
        <v>661</v>
      </c>
      <c r="D1" s="197" t="s">
        <v>662</v>
      </c>
      <c r="E1" s="197" t="s">
        <v>663</v>
      </c>
    </row>
    <row r="2" spans="1:5">
      <c r="A2" t="s">
        <v>664</v>
      </c>
      <c r="B2" t="s">
        <v>665</v>
      </c>
      <c r="C2">
        <v>0</v>
      </c>
      <c r="D2" t="s">
        <v>666</v>
      </c>
      <c r="E2" t="s">
        <v>667</v>
      </c>
    </row>
    <row r="3" spans="1:5">
      <c r="A3" t="s">
        <v>664</v>
      </c>
      <c r="B3" t="s">
        <v>668</v>
      </c>
      <c r="C3">
        <v>1</v>
      </c>
      <c r="D3" t="s">
        <v>669</v>
      </c>
      <c r="E3" t="s">
        <v>670</v>
      </c>
    </row>
    <row r="4" spans="1:5">
      <c r="A4" t="s">
        <v>664</v>
      </c>
      <c r="B4" t="s">
        <v>671</v>
      </c>
      <c r="C4">
        <v>2</v>
      </c>
      <c r="D4" t="s">
        <v>672</v>
      </c>
      <c r="E4" t="s">
        <v>673</v>
      </c>
    </row>
    <row r="5" spans="1:5">
      <c r="A5" t="s">
        <v>674</v>
      </c>
      <c r="B5" t="s">
        <v>665</v>
      </c>
      <c r="C5">
        <v>0</v>
      </c>
      <c r="D5" t="s">
        <v>666</v>
      </c>
      <c r="E5" t="s">
        <v>675</v>
      </c>
    </row>
    <row r="6" spans="1:5">
      <c r="A6" t="s">
        <v>674</v>
      </c>
      <c r="B6" t="s">
        <v>668</v>
      </c>
      <c r="C6">
        <v>1</v>
      </c>
      <c r="D6" t="s">
        <v>669</v>
      </c>
      <c r="E6" t="s">
        <v>676</v>
      </c>
    </row>
    <row r="7" spans="1:5">
      <c r="A7" t="s">
        <v>674</v>
      </c>
      <c r="B7" t="s">
        <v>671</v>
      </c>
      <c r="C7">
        <v>2</v>
      </c>
      <c r="D7" t="s">
        <v>672</v>
      </c>
      <c r="E7" t="s">
        <v>677</v>
      </c>
    </row>
    <row r="8" spans="1:5">
      <c r="A8" t="s">
        <v>678</v>
      </c>
      <c r="B8" t="s">
        <v>665</v>
      </c>
      <c r="C8">
        <v>0</v>
      </c>
      <c r="D8" t="s">
        <v>679</v>
      </c>
      <c r="E8" t="s">
        <v>680</v>
      </c>
    </row>
    <row r="9" spans="1:5">
      <c r="A9" t="s">
        <v>678</v>
      </c>
      <c r="B9" t="s">
        <v>681</v>
      </c>
      <c r="C9">
        <v>1</v>
      </c>
      <c r="D9" t="s">
        <v>682</v>
      </c>
      <c r="E9" t="s">
        <v>683</v>
      </c>
    </row>
    <row r="10" spans="1:5">
      <c r="A10" t="s">
        <v>678</v>
      </c>
      <c r="B10" t="s">
        <v>681</v>
      </c>
      <c r="C10">
        <v>2</v>
      </c>
      <c r="D10" t="s">
        <v>682</v>
      </c>
      <c r="E10" t="s">
        <v>684</v>
      </c>
    </row>
    <row r="11" spans="1:5">
      <c r="A11" t="s">
        <v>685</v>
      </c>
      <c r="B11" t="s">
        <v>665</v>
      </c>
      <c r="C11">
        <v>0</v>
      </c>
      <c r="D11" t="s">
        <v>686</v>
      </c>
      <c r="E11" t="s">
        <v>687</v>
      </c>
    </row>
    <row r="12" spans="1:5">
      <c r="A12" t="s">
        <v>685</v>
      </c>
      <c r="B12" t="s">
        <v>681</v>
      </c>
      <c r="C12">
        <v>1</v>
      </c>
      <c r="D12" t="s">
        <v>688</v>
      </c>
      <c r="E12" t="s">
        <v>689</v>
      </c>
    </row>
    <row r="13" spans="1:5">
      <c r="A13" t="s">
        <v>685</v>
      </c>
      <c r="B13" t="s">
        <v>681</v>
      </c>
      <c r="C13">
        <v>2</v>
      </c>
      <c r="D13" t="s">
        <v>688</v>
      </c>
      <c r="E13" t="s">
        <v>689</v>
      </c>
    </row>
    <row r="14" spans="1:5">
      <c r="A14" t="s">
        <v>690</v>
      </c>
      <c r="B14" t="s">
        <v>691</v>
      </c>
      <c r="C14">
        <v>0</v>
      </c>
      <c r="D14" t="s">
        <v>692</v>
      </c>
      <c r="E14" t="s">
        <v>693</v>
      </c>
    </row>
    <row r="15" spans="1:5">
      <c r="A15" t="s">
        <v>690</v>
      </c>
      <c r="B15" t="s">
        <v>691</v>
      </c>
      <c r="C15">
        <v>1</v>
      </c>
      <c r="D15" t="s">
        <v>694</v>
      </c>
      <c r="E15" t="s">
        <v>695</v>
      </c>
    </row>
    <row r="16" spans="1:5">
      <c r="A16" t="s">
        <v>696</v>
      </c>
      <c r="B16" t="s">
        <v>665</v>
      </c>
      <c r="C16">
        <v>0</v>
      </c>
      <c r="D16" t="s">
        <v>697</v>
      </c>
      <c r="E16" t="s">
        <v>698</v>
      </c>
    </row>
    <row r="17" spans="1:5">
      <c r="A17" t="s">
        <v>696</v>
      </c>
      <c r="B17" t="s">
        <v>668</v>
      </c>
      <c r="C17">
        <v>1</v>
      </c>
      <c r="D17" t="s">
        <v>699</v>
      </c>
      <c r="E17" t="s">
        <v>700</v>
      </c>
    </row>
    <row r="18" spans="1:5">
      <c r="A18" t="s">
        <v>696</v>
      </c>
      <c r="B18" t="s">
        <v>671</v>
      </c>
      <c r="C18">
        <v>2</v>
      </c>
      <c r="D18" t="s">
        <v>699</v>
      </c>
      <c r="E18" t="s">
        <v>701</v>
      </c>
    </row>
    <row r="19" spans="1:5">
      <c r="A19" t="s">
        <v>702</v>
      </c>
      <c r="B19" t="s">
        <v>665</v>
      </c>
      <c r="C19">
        <v>0</v>
      </c>
      <c r="D19" t="s">
        <v>703</v>
      </c>
      <c r="E19" t="s">
        <v>704</v>
      </c>
    </row>
    <row r="20" spans="1:5">
      <c r="A20" t="s">
        <v>702</v>
      </c>
      <c r="B20" t="s">
        <v>668</v>
      </c>
      <c r="C20">
        <v>1</v>
      </c>
      <c r="D20" t="s">
        <v>705</v>
      </c>
      <c r="E20" t="s">
        <v>706</v>
      </c>
    </row>
    <row r="21" spans="1:5">
      <c r="A21" t="s">
        <v>707</v>
      </c>
      <c r="B21" t="s">
        <v>691</v>
      </c>
      <c r="C21">
        <v>0</v>
      </c>
      <c r="D21" t="s">
        <v>708</v>
      </c>
      <c r="E21" t="s">
        <v>709</v>
      </c>
    </row>
    <row r="22" spans="1:5">
      <c r="A22" t="s">
        <v>707</v>
      </c>
      <c r="B22" t="s">
        <v>691</v>
      </c>
      <c r="C22">
        <v>1</v>
      </c>
      <c r="D22" t="s">
        <v>710</v>
      </c>
      <c r="E22" t="s">
        <v>711</v>
      </c>
    </row>
    <row r="23" spans="1:5">
      <c r="A23" t="s">
        <v>499</v>
      </c>
      <c r="B23" t="s">
        <v>665</v>
      </c>
      <c r="C23">
        <v>0</v>
      </c>
      <c r="D23" t="s">
        <v>712</v>
      </c>
      <c r="E23" t="s">
        <v>713</v>
      </c>
    </row>
    <row r="24" spans="1:5">
      <c r="A24" t="s">
        <v>499</v>
      </c>
      <c r="B24" t="s">
        <v>668</v>
      </c>
      <c r="C24">
        <v>1</v>
      </c>
      <c r="D24" t="s">
        <v>714</v>
      </c>
      <c r="E24" t="s">
        <v>715</v>
      </c>
    </row>
    <row r="25" spans="1:5">
      <c r="A25" t="s">
        <v>499</v>
      </c>
      <c r="B25" t="s">
        <v>671</v>
      </c>
      <c r="C25">
        <v>2</v>
      </c>
      <c r="D25" t="s">
        <v>716</v>
      </c>
      <c r="E25" t="s">
        <v>717</v>
      </c>
    </row>
    <row r="26" spans="1:5">
      <c r="A26" t="s">
        <v>718</v>
      </c>
      <c r="B26" t="s">
        <v>691</v>
      </c>
      <c r="C26">
        <v>0</v>
      </c>
      <c r="D26" t="s">
        <v>666</v>
      </c>
      <c r="E26" t="s">
        <v>719</v>
      </c>
    </row>
    <row r="27" spans="1:5">
      <c r="A27" t="s">
        <v>718</v>
      </c>
      <c r="B27" t="s">
        <v>691</v>
      </c>
      <c r="C27">
        <v>1</v>
      </c>
      <c r="D27" t="s">
        <v>720</v>
      </c>
      <c r="E27" t="s">
        <v>721</v>
      </c>
    </row>
    <row r="28" spans="1:5">
      <c r="A28" t="s">
        <v>722</v>
      </c>
      <c r="B28" t="s">
        <v>691</v>
      </c>
      <c r="C28">
        <v>0</v>
      </c>
      <c r="D28" t="s">
        <v>723</v>
      </c>
      <c r="E28" t="s">
        <v>724</v>
      </c>
    </row>
    <row r="29" spans="1:5">
      <c r="A29" t="s">
        <v>722</v>
      </c>
      <c r="B29" t="s">
        <v>691</v>
      </c>
      <c r="C29">
        <v>2</v>
      </c>
      <c r="D29" t="s">
        <v>725</v>
      </c>
      <c r="E29" t="s">
        <v>726</v>
      </c>
    </row>
    <row r="30" spans="1:5">
      <c r="A30" t="s">
        <v>722</v>
      </c>
      <c r="B30" t="s">
        <v>691</v>
      </c>
      <c r="C30">
        <v>1</v>
      </c>
      <c r="D30" t="s">
        <v>725</v>
      </c>
      <c r="E30" t="s">
        <v>727</v>
      </c>
    </row>
    <row r="31" spans="1:5">
      <c r="A31" s="197" t="s">
        <v>659</v>
      </c>
      <c r="B31" s="197" t="s">
        <v>660</v>
      </c>
      <c r="C31" s="197" t="s">
        <v>661</v>
      </c>
      <c r="D31" s="197" t="s">
        <v>662</v>
      </c>
      <c r="E31" s="197" t="s">
        <v>663</v>
      </c>
    </row>
    <row r="32" spans="1:5">
      <c r="A32" t="s">
        <v>728</v>
      </c>
      <c r="B32" t="s">
        <v>691</v>
      </c>
      <c r="C32">
        <v>0</v>
      </c>
      <c r="D32" t="s">
        <v>729</v>
      </c>
      <c r="E32" t="s">
        <v>730</v>
      </c>
    </row>
    <row r="33" spans="1:5">
      <c r="A33" t="s">
        <v>728</v>
      </c>
      <c r="B33" t="s">
        <v>668</v>
      </c>
      <c r="C33">
        <v>1</v>
      </c>
      <c r="D33" t="s">
        <v>731</v>
      </c>
      <c r="E33" t="s">
        <v>732</v>
      </c>
    </row>
    <row r="34" spans="1:5">
      <c r="A34" t="s">
        <v>728</v>
      </c>
      <c r="B34" t="s">
        <v>733</v>
      </c>
      <c r="C34">
        <v>2</v>
      </c>
      <c r="D34" t="s">
        <v>731</v>
      </c>
      <c r="E34" t="s">
        <v>734</v>
      </c>
    </row>
    <row r="35" spans="1:5">
      <c r="A35" t="s">
        <v>735</v>
      </c>
      <c r="B35" t="s">
        <v>691</v>
      </c>
      <c r="C35">
        <v>0</v>
      </c>
      <c r="D35" t="s">
        <v>729</v>
      </c>
      <c r="E35" t="s">
        <v>730</v>
      </c>
    </row>
    <row r="36" spans="1:5">
      <c r="A36" t="s">
        <v>735</v>
      </c>
      <c r="B36" t="s">
        <v>668</v>
      </c>
      <c r="C36">
        <v>1</v>
      </c>
      <c r="D36" t="s">
        <v>731</v>
      </c>
      <c r="E36" t="s">
        <v>732</v>
      </c>
    </row>
    <row r="37" spans="1:5">
      <c r="A37" t="s">
        <v>735</v>
      </c>
      <c r="B37" t="s">
        <v>733</v>
      </c>
      <c r="C37">
        <v>2</v>
      </c>
      <c r="D37" t="s">
        <v>731</v>
      </c>
      <c r="E37" t="s">
        <v>734</v>
      </c>
    </row>
    <row r="38" spans="1:5">
      <c r="A38" t="s">
        <v>736</v>
      </c>
      <c r="B38" t="s">
        <v>691</v>
      </c>
      <c r="C38">
        <v>0</v>
      </c>
      <c r="D38" t="s">
        <v>729</v>
      </c>
      <c r="E38" t="s">
        <v>730</v>
      </c>
    </row>
    <row r="39" spans="1:5">
      <c r="A39" t="s">
        <v>736</v>
      </c>
      <c r="B39" t="s">
        <v>668</v>
      </c>
      <c r="C39">
        <v>1</v>
      </c>
      <c r="D39" t="s">
        <v>731</v>
      </c>
      <c r="E39" t="s">
        <v>732</v>
      </c>
    </row>
    <row r="40" spans="1:5">
      <c r="A40" t="s">
        <v>736</v>
      </c>
      <c r="B40" t="s">
        <v>733</v>
      </c>
      <c r="C40">
        <v>2</v>
      </c>
      <c r="D40" t="s">
        <v>731</v>
      </c>
      <c r="E40" t="s">
        <v>734</v>
      </c>
    </row>
    <row r="41" spans="1:5">
      <c r="A41" t="s">
        <v>737</v>
      </c>
      <c r="E41" t="s">
        <v>738</v>
      </c>
    </row>
    <row r="42" spans="1:5">
      <c r="A42" t="s">
        <v>739</v>
      </c>
      <c r="B42" t="s">
        <v>691</v>
      </c>
      <c r="C42">
        <v>0</v>
      </c>
      <c r="D42" t="s">
        <v>708</v>
      </c>
      <c r="E42" t="s">
        <v>740</v>
      </c>
    </row>
    <row r="43" spans="1:5">
      <c r="A43" t="s">
        <v>739</v>
      </c>
      <c r="B43" t="s">
        <v>691</v>
      </c>
      <c r="C43">
        <v>1</v>
      </c>
      <c r="D43" t="s">
        <v>710</v>
      </c>
      <c r="E43" t="s">
        <v>741</v>
      </c>
    </row>
    <row r="44" spans="1:5">
      <c r="A44" t="s">
        <v>742</v>
      </c>
      <c r="E44" t="s">
        <v>738</v>
      </c>
    </row>
    <row r="45" spans="1:5">
      <c r="A45" t="s">
        <v>743</v>
      </c>
      <c r="B45" t="s">
        <v>665</v>
      </c>
      <c r="C45">
        <v>0</v>
      </c>
      <c r="D45" t="s">
        <v>703</v>
      </c>
      <c r="E45" t="s">
        <v>744</v>
      </c>
    </row>
    <row r="46" spans="1:5">
      <c r="A46" t="s">
        <v>743</v>
      </c>
      <c r="B46" t="s">
        <v>668</v>
      </c>
      <c r="C46">
        <v>1</v>
      </c>
      <c r="D46" t="s">
        <v>705</v>
      </c>
      <c r="E46" t="s">
        <v>745</v>
      </c>
    </row>
    <row r="47" spans="1:5">
      <c r="A47" t="s">
        <v>746</v>
      </c>
      <c r="B47" t="s">
        <v>665</v>
      </c>
      <c r="C47">
        <v>0</v>
      </c>
      <c r="D47" t="s">
        <v>703</v>
      </c>
      <c r="E47" t="s">
        <v>744</v>
      </c>
    </row>
    <row r="48" spans="1:5">
      <c r="A48" t="s">
        <v>746</v>
      </c>
      <c r="B48" t="s">
        <v>668</v>
      </c>
      <c r="C48">
        <v>1</v>
      </c>
      <c r="D48" t="s">
        <v>705</v>
      </c>
      <c r="E48" t="s">
        <v>745</v>
      </c>
    </row>
    <row r="49" spans="1:5">
      <c r="A49" t="s">
        <v>747</v>
      </c>
      <c r="E49" t="s">
        <v>738</v>
      </c>
    </row>
    <row r="50" spans="1:5">
      <c r="A50" t="s">
        <v>748</v>
      </c>
      <c r="E50" t="s">
        <v>738</v>
      </c>
    </row>
    <row r="51" spans="1:5">
      <c r="A51" t="s">
        <v>749</v>
      </c>
      <c r="E51" t="s">
        <v>738</v>
      </c>
    </row>
    <row r="52" spans="1:5">
      <c r="A52" t="s">
        <v>750</v>
      </c>
      <c r="E52" t="s">
        <v>738</v>
      </c>
    </row>
    <row r="53" spans="1:5">
      <c r="A53" t="s">
        <v>751</v>
      </c>
      <c r="E53" t="s">
        <v>738</v>
      </c>
    </row>
    <row r="54" spans="1:5">
      <c r="A54" t="s">
        <v>718</v>
      </c>
      <c r="B54" t="s">
        <v>691</v>
      </c>
      <c r="C54">
        <v>0</v>
      </c>
      <c r="D54" t="s">
        <v>666</v>
      </c>
      <c r="E54" t="s">
        <v>752</v>
      </c>
    </row>
    <row r="55" spans="1:5">
      <c r="A55" t="s">
        <v>718</v>
      </c>
      <c r="B55" t="s">
        <v>691</v>
      </c>
      <c r="C55">
        <v>1</v>
      </c>
      <c r="D55" t="s">
        <v>720</v>
      </c>
      <c r="E55" t="s">
        <v>753</v>
      </c>
    </row>
    <row r="56" spans="1:5">
      <c r="A56" t="s">
        <v>754</v>
      </c>
      <c r="E56" t="s">
        <v>738</v>
      </c>
    </row>
    <row r="57" spans="1:5">
      <c r="A57" t="s">
        <v>664</v>
      </c>
      <c r="B57" t="s">
        <v>665</v>
      </c>
      <c r="C57">
        <v>0</v>
      </c>
      <c r="D57" t="s">
        <v>666</v>
      </c>
      <c r="E57" t="s">
        <v>755</v>
      </c>
    </row>
    <row r="58" spans="1:5">
      <c r="A58" t="s">
        <v>664</v>
      </c>
      <c r="B58" t="s">
        <v>668</v>
      </c>
      <c r="C58">
        <v>1</v>
      </c>
      <c r="D58" t="s">
        <v>669</v>
      </c>
      <c r="E58" t="s">
        <v>756</v>
      </c>
    </row>
    <row r="59" spans="1:5">
      <c r="A59" t="s">
        <v>664</v>
      </c>
      <c r="B59" t="s">
        <v>671</v>
      </c>
      <c r="C59">
        <v>2</v>
      </c>
      <c r="D59" t="s">
        <v>672</v>
      </c>
      <c r="E59" t="s">
        <v>757</v>
      </c>
    </row>
    <row r="60" spans="1:5">
      <c r="A60" t="s">
        <v>674</v>
      </c>
      <c r="B60" t="s">
        <v>665</v>
      </c>
      <c r="C60">
        <v>0</v>
      </c>
      <c r="D60" t="s">
        <v>666</v>
      </c>
      <c r="E60" t="s">
        <v>755</v>
      </c>
    </row>
    <row r="61" spans="1:5">
      <c r="A61" t="s">
        <v>674</v>
      </c>
      <c r="B61" t="s">
        <v>668</v>
      </c>
      <c r="C61">
        <v>1</v>
      </c>
      <c r="D61" t="s">
        <v>669</v>
      </c>
      <c r="E61" t="s">
        <v>756</v>
      </c>
    </row>
    <row r="62" spans="1:5">
      <c r="A62" t="s">
        <v>674</v>
      </c>
      <c r="B62" t="s">
        <v>671</v>
      </c>
      <c r="C62">
        <v>2</v>
      </c>
      <c r="D62" t="s">
        <v>672</v>
      </c>
      <c r="E62" t="s">
        <v>757</v>
      </c>
    </row>
    <row r="63" spans="1:5">
      <c r="A63" t="s">
        <v>678</v>
      </c>
      <c r="B63" t="s">
        <v>665</v>
      </c>
      <c r="C63">
        <v>0</v>
      </c>
      <c r="D63" t="s">
        <v>679</v>
      </c>
      <c r="E63" t="s">
        <v>758</v>
      </c>
    </row>
    <row r="64" spans="1:5">
      <c r="A64" t="s">
        <v>678</v>
      </c>
      <c r="B64" t="s">
        <v>681</v>
      </c>
      <c r="C64">
        <v>1</v>
      </c>
      <c r="D64" t="s">
        <v>682</v>
      </c>
      <c r="E64" t="s">
        <v>759</v>
      </c>
    </row>
    <row r="65" spans="1:5">
      <c r="A65" t="s">
        <v>760</v>
      </c>
      <c r="E65" t="s">
        <v>738</v>
      </c>
    </row>
    <row r="66" spans="1:5">
      <c r="A66" t="s">
        <v>685</v>
      </c>
      <c r="B66" t="s">
        <v>665</v>
      </c>
      <c r="C66">
        <v>0</v>
      </c>
      <c r="D66" t="s">
        <v>686</v>
      </c>
      <c r="E66" t="s">
        <v>761</v>
      </c>
    </row>
    <row r="67" spans="1:5">
      <c r="A67" t="s">
        <v>685</v>
      </c>
      <c r="B67" t="s">
        <v>681</v>
      </c>
      <c r="C67">
        <v>1</v>
      </c>
      <c r="D67" t="s">
        <v>688</v>
      </c>
      <c r="E67" t="s">
        <v>762</v>
      </c>
    </row>
    <row r="68" spans="1:5">
      <c r="A68" t="s">
        <v>685</v>
      </c>
      <c r="B68" t="s">
        <v>681</v>
      </c>
      <c r="C68">
        <v>2</v>
      </c>
      <c r="D68" t="s">
        <v>688</v>
      </c>
      <c r="E68" t="s">
        <v>762</v>
      </c>
    </row>
    <row r="69" spans="1:5">
      <c r="A69" t="s">
        <v>690</v>
      </c>
      <c r="B69" t="s">
        <v>691</v>
      </c>
      <c r="C69">
        <v>0</v>
      </c>
      <c r="D69" t="s">
        <v>692</v>
      </c>
      <c r="E69" t="s">
        <v>763</v>
      </c>
    </row>
    <row r="70" spans="1:5">
      <c r="A70" t="s">
        <v>690</v>
      </c>
      <c r="B70" t="s">
        <v>691</v>
      </c>
      <c r="C70">
        <v>1</v>
      </c>
      <c r="D70" t="s">
        <v>694</v>
      </c>
      <c r="E70" t="s">
        <v>764</v>
      </c>
    </row>
    <row r="71" spans="1:5">
      <c r="A71" t="s">
        <v>765</v>
      </c>
      <c r="B71" t="s">
        <v>691</v>
      </c>
      <c r="C71">
        <v>0</v>
      </c>
      <c r="D71" t="s">
        <v>692</v>
      </c>
      <c r="E71" t="s">
        <v>763</v>
      </c>
    </row>
    <row r="72" spans="1:5">
      <c r="A72" t="s">
        <v>765</v>
      </c>
      <c r="B72" t="s">
        <v>691</v>
      </c>
      <c r="C72">
        <v>1</v>
      </c>
      <c r="D72" t="s">
        <v>694</v>
      </c>
      <c r="E72" t="s">
        <v>764</v>
      </c>
    </row>
    <row r="73" spans="1:5">
      <c r="A73" t="s">
        <v>766</v>
      </c>
      <c r="B73" t="s">
        <v>691</v>
      </c>
      <c r="C73">
        <v>0</v>
      </c>
      <c r="D73" t="s">
        <v>692</v>
      </c>
      <c r="E73" t="s">
        <v>763</v>
      </c>
    </row>
    <row r="74" spans="1:5">
      <c r="A74" t="s">
        <v>766</v>
      </c>
      <c r="B74" t="s">
        <v>691</v>
      </c>
      <c r="C74">
        <v>1</v>
      </c>
      <c r="D74" t="s">
        <v>694</v>
      </c>
      <c r="E74" t="s">
        <v>764</v>
      </c>
    </row>
    <row r="75" spans="1:5">
      <c r="A75" t="s">
        <v>767</v>
      </c>
      <c r="E75" t="s">
        <v>738</v>
      </c>
    </row>
    <row r="76" spans="1:5">
      <c r="A76" t="s">
        <v>768</v>
      </c>
      <c r="E76" t="s">
        <v>738</v>
      </c>
    </row>
    <row r="77" spans="1:5">
      <c r="A77" t="s">
        <v>769</v>
      </c>
      <c r="E77" t="s">
        <v>738</v>
      </c>
    </row>
    <row r="78" spans="1:5">
      <c r="A78" t="s">
        <v>499</v>
      </c>
      <c r="B78" t="s">
        <v>665</v>
      </c>
      <c r="C78">
        <v>0</v>
      </c>
      <c r="D78" t="s">
        <v>712</v>
      </c>
      <c r="E78" t="s">
        <v>770</v>
      </c>
    </row>
    <row r="79" spans="1:5">
      <c r="A79" t="s">
        <v>499</v>
      </c>
      <c r="B79" t="s">
        <v>668</v>
      </c>
      <c r="C79">
        <v>1</v>
      </c>
      <c r="D79" t="s">
        <v>714</v>
      </c>
      <c r="E79" t="s">
        <v>771</v>
      </c>
    </row>
    <row r="80" spans="1:5">
      <c r="A80" t="s">
        <v>499</v>
      </c>
      <c r="B80" t="s">
        <v>671</v>
      </c>
      <c r="C80">
        <v>2</v>
      </c>
      <c r="D80" t="s">
        <v>716</v>
      </c>
      <c r="E80" t="s">
        <v>772</v>
      </c>
    </row>
    <row r="81" spans="1:5">
      <c r="A81" t="s">
        <v>773</v>
      </c>
      <c r="E81" t="s">
        <v>738</v>
      </c>
    </row>
    <row r="82" spans="1:5">
      <c r="A82" t="s">
        <v>774</v>
      </c>
      <c r="E82" t="s">
        <v>738</v>
      </c>
    </row>
    <row r="83" spans="1:5">
      <c r="A83" t="s">
        <v>775</v>
      </c>
      <c r="E83" t="s">
        <v>738</v>
      </c>
    </row>
    <row r="84" spans="1:5">
      <c r="A84" t="s">
        <v>776</v>
      </c>
      <c r="E84" t="s">
        <v>738</v>
      </c>
    </row>
    <row r="85" spans="1:5">
      <c r="A85" t="s">
        <v>777</v>
      </c>
      <c r="E85" t="s">
        <v>738</v>
      </c>
    </row>
    <row r="86" spans="1:5">
      <c r="A86" t="s">
        <v>778</v>
      </c>
      <c r="E86" t="s">
        <v>738</v>
      </c>
    </row>
    <row r="87" spans="1:5">
      <c r="A87" t="s">
        <v>779</v>
      </c>
      <c r="E87" t="s">
        <v>738</v>
      </c>
    </row>
    <row r="88" spans="1:5">
      <c r="A88" t="s">
        <v>780</v>
      </c>
      <c r="E88" t="s">
        <v>738</v>
      </c>
    </row>
    <row r="103" spans="8:11" s="179" customFormat="1"/>
    <row r="104" spans="8:11" s="179" customFormat="1">
      <c r="H104" s="185" t="s">
        <v>448</v>
      </c>
      <c r="I104" s="185" t="s">
        <v>449</v>
      </c>
      <c r="J104" s="185" t="s">
        <v>419</v>
      </c>
      <c r="K104" s="196" t="s">
        <v>571</v>
      </c>
    </row>
    <row r="105" spans="8:11" s="179" customFormat="1">
      <c r="H105" s="191" t="s">
        <v>1103</v>
      </c>
      <c r="I105" s="191" t="s">
        <v>1102</v>
      </c>
      <c r="J105" s="182">
        <v>2008</v>
      </c>
      <c r="K105" s="182" t="s">
        <v>562</v>
      </c>
    </row>
    <row r="106" spans="8:11" s="179" customFormat="1">
      <c r="H106" s="191" t="s">
        <v>1103</v>
      </c>
      <c r="I106" s="191" t="s">
        <v>1102</v>
      </c>
      <c r="J106" s="182">
        <v>2009</v>
      </c>
      <c r="K106" s="182" t="s">
        <v>562</v>
      </c>
    </row>
    <row r="107" spans="8:11" s="179" customFormat="1">
      <c r="H107" s="191" t="s">
        <v>1103</v>
      </c>
      <c r="I107" s="191" t="s">
        <v>1102</v>
      </c>
      <c r="J107" s="182">
        <v>2125</v>
      </c>
      <c r="K107" s="182" t="s">
        <v>567</v>
      </c>
    </row>
    <row r="108" spans="8:11" s="179" customFormat="1">
      <c r="H108" s="191" t="s">
        <v>1103</v>
      </c>
      <c r="I108" s="191" t="s">
        <v>1102</v>
      </c>
      <c r="J108" s="182"/>
      <c r="K108" s="182" t="s">
        <v>573</v>
      </c>
    </row>
    <row r="109" spans="8:11" s="179" customFormat="1">
      <c r="H109" s="191" t="s">
        <v>1103</v>
      </c>
      <c r="I109" s="191" t="s">
        <v>1102</v>
      </c>
      <c r="J109" s="182">
        <v>2096</v>
      </c>
      <c r="K109" s="182" t="s">
        <v>572</v>
      </c>
    </row>
    <row r="110" spans="8:11" s="179" customFormat="1">
      <c r="H110" s="191" t="s">
        <v>1103</v>
      </c>
      <c r="I110" s="191" t="s">
        <v>1102</v>
      </c>
      <c r="J110" s="182">
        <v>2097</v>
      </c>
      <c r="K110" s="182" t="s">
        <v>572</v>
      </c>
    </row>
    <row r="111" spans="8:11" s="179" customFormat="1">
      <c r="H111" s="191" t="s">
        <v>1103</v>
      </c>
      <c r="I111" s="191" t="s">
        <v>1102</v>
      </c>
      <c r="J111" s="182">
        <v>2037</v>
      </c>
      <c r="K111" s="182" t="s">
        <v>563</v>
      </c>
    </row>
    <row r="112" spans="8:11" s="179" customFormat="1">
      <c r="H112" s="191" t="s">
        <v>1103</v>
      </c>
      <c r="I112" s="191" t="s">
        <v>1102</v>
      </c>
      <c r="J112" s="182">
        <v>5007</v>
      </c>
      <c r="K112" s="182" t="s">
        <v>618</v>
      </c>
    </row>
    <row r="113" spans="8:11" s="179" customFormat="1">
      <c r="H113" s="191" t="s">
        <v>1103</v>
      </c>
      <c r="I113" s="191" t="s">
        <v>1102</v>
      </c>
      <c r="J113" s="182">
        <v>5017</v>
      </c>
      <c r="K113" s="182" t="s">
        <v>618</v>
      </c>
    </row>
    <row r="114" spans="8:11" s="179" customFormat="1">
      <c r="H114" s="191" t="s">
        <v>1103</v>
      </c>
      <c r="I114" s="191" t="s">
        <v>1102</v>
      </c>
      <c r="J114" s="182">
        <v>5006</v>
      </c>
      <c r="K114" s="182" t="s">
        <v>618</v>
      </c>
    </row>
    <row r="115" spans="8:11" s="179" customFormat="1">
      <c r="H115" s="191" t="s">
        <v>1103</v>
      </c>
      <c r="I115" s="191" t="s">
        <v>1102</v>
      </c>
      <c r="J115" s="182">
        <v>5008</v>
      </c>
      <c r="K115" s="182" t="s">
        <v>618</v>
      </c>
    </row>
    <row r="116" spans="8:11" s="179" customFormat="1">
      <c r="H116" s="191" t="s">
        <v>1103</v>
      </c>
      <c r="I116" s="191" t="s">
        <v>1102</v>
      </c>
      <c r="J116" s="182">
        <v>5009</v>
      </c>
      <c r="K116" s="182" t="s">
        <v>618</v>
      </c>
    </row>
    <row r="117" spans="8:11" s="179" customFormat="1">
      <c r="H117" s="191" t="s">
        <v>1103</v>
      </c>
      <c r="I117" s="191" t="s">
        <v>1102</v>
      </c>
      <c r="J117" s="182">
        <v>5018</v>
      </c>
      <c r="K117" s="182" t="s">
        <v>618</v>
      </c>
    </row>
    <row r="118" spans="8:11" s="179" customFormat="1">
      <c r="H118" s="191" t="s">
        <v>1103</v>
      </c>
      <c r="I118" s="191" t="s">
        <v>1102</v>
      </c>
      <c r="J118" s="182">
        <v>5019</v>
      </c>
      <c r="K118" s="182" t="s">
        <v>618</v>
      </c>
    </row>
    <row r="119" spans="8:11" s="179" customFormat="1">
      <c r="H119" s="191" t="s">
        <v>1103</v>
      </c>
      <c r="I119" s="191" t="s">
        <v>1102</v>
      </c>
      <c r="J119" s="182"/>
      <c r="K119" s="182" t="s">
        <v>561</v>
      </c>
    </row>
    <row r="120" spans="8:11" s="179" customFormat="1">
      <c r="H120" s="191" t="s">
        <v>1103</v>
      </c>
      <c r="I120" s="191" t="s">
        <v>1102</v>
      </c>
      <c r="J120" s="182"/>
      <c r="K120" s="182" t="s">
        <v>558</v>
      </c>
    </row>
    <row r="121" spans="8:11" s="179" customFormat="1">
      <c r="H121" s="191" t="s">
        <v>1103</v>
      </c>
      <c r="I121" s="191" t="s">
        <v>1102</v>
      </c>
      <c r="J121" s="182">
        <v>5001</v>
      </c>
      <c r="K121" s="182" t="s">
        <v>568</v>
      </c>
    </row>
    <row r="122" spans="8:11" s="179" customFormat="1">
      <c r="H122" s="191" t="s">
        <v>1103</v>
      </c>
      <c r="I122" s="191" t="s">
        <v>1102</v>
      </c>
      <c r="J122" s="182">
        <v>5002</v>
      </c>
      <c r="K122" s="182" t="s">
        <v>568</v>
      </c>
    </row>
    <row r="123" spans="8:11" s="179" customFormat="1">
      <c r="H123" s="191" t="s">
        <v>1103</v>
      </c>
      <c r="I123" s="191" t="s">
        <v>1102</v>
      </c>
      <c r="J123" s="182">
        <v>5003</v>
      </c>
      <c r="K123" s="182" t="s">
        <v>568</v>
      </c>
    </row>
    <row r="124" spans="8:11" s="179" customFormat="1">
      <c r="H124" s="191" t="s">
        <v>1103</v>
      </c>
      <c r="I124" s="191" t="s">
        <v>1102</v>
      </c>
      <c r="J124" s="182">
        <v>5004</v>
      </c>
      <c r="K124" s="182" t="s">
        <v>568</v>
      </c>
    </row>
    <row r="125" spans="8:11" s="179" customFormat="1">
      <c r="H125" s="191" t="s">
        <v>1103</v>
      </c>
      <c r="I125" s="191" t="s">
        <v>1102</v>
      </c>
      <c r="J125" s="182">
        <v>5005</v>
      </c>
      <c r="K125" s="182" t="s">
        <v>568</v>
      </c>
    </row>
    <row r="126" spans="8:11" s="179" customFormat="1">
      <c r="H126" s="191" t="s">
        <v>1103</v>
      </c>
      <c r="I126" s="191" t="s">
        <v>1102</v>
      </c>
      <c r="J126" s="182">
        <v>5011</v>
      </c>
      <c r="K126" s="182" t="s">
        <v>566</v>
      </c>
    </row>
    <row r="127" spans="8:11" s="179" customFormat="1">
      <c r="H127" s="191" t="s">
        <v>1103</v>
      </c>
      <c r="I127" s="191" t="s">
        <v>1102</v>
      </c>
      <c r="J127" s="182">
        <v>5015</v>
      </c>
      <c r="K127" s="182" t="s">
        <v>568</v>
      </c>
    </row>
    <row r="128" spans="8:11" s="179" customFormat="1">
      <c r="H128" s="191" t="s">
        <v>1103</v>
      </c>
      <c r="I128" s="191" t="s">
        <v>1102</v>
      </c>
      <c r="J128" s="182">
        <v>5016</v>
      </c>
      <c r="K128" s="182" t="s">
        <v>568</v>
      </c>
    </row>
    <row r="129" spans="8:11" s="179" customFormat="1">
      <c r="H129" s="191" t="s">
        <v>1103</v>
      </c>
      <c r="I129" s="191" t="s">
        <v>1102</v>
      </c>
      <c r="J129" s="182" t="s">
        <v>570</v>
      </c>
      <c r="K129" s="182" t="s">
        <v>569</v>
      </c>
    </row>
    <row r="130" spans="8:11" s="179" customFormat="1">
      <c r="H130" s="182"/>
      <c r="I130" s="182"/>
    </row>
    <row r="131" spans="8:11" s="179" customFormat="1"/>
    <row r="132" spans="8:11" s="179" customFormat="1"/>
    <row r="133" spans="8:11" s="179" customFormat="1">
      <c r="H133" t="s">
        <v>985</v>
      </c>
      <c r="I133" t="s">
        <v>1101</v>
      </c>
    </row>
    <row r="134" spans="8:11" s="179" customFormat="1">
      <c r="H134" t="s">
        <v>987</v>
      </c>
      <c r="I134" t="s">
        <v>988</v>
      </c>
    </row>
    <row r="135" spans="8:11" s="179" customFormat="1">
      <c r="H135" t="s">
        <v>989</v>
      </c>
      <c r="I135" t="s">
        <v>990</v>
      </c>
    </row>
    <row r="136" spans="8:11" s="179" customFormat="1">
      <c r="H136" t="s">
        <v>991</v>
      </c>
      <c r="I136" t="s">
        <v>992</v>
      </c>
    </row>
    <row r="137" spans="8:11" s="179" customFormat="1">
      <c r="H137" s="290" t="s">
        <v>1104</v>
      </c>
      <c r="I137" s="179" t="s">
        <v>1105</v>
      </c>
    </row>
    <row r="138" spans="8:11" s="179" customFormat="1"/>
    <row r="139" spans="8:11" s="179" customFormat="1"/>
    <row r="140" spans="8:11" s="179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91B5-C200-F441-9157-76C5886E6606}">
  <dimension ref="A1:F24"/>
  <sheetViews>
    <sheetView workbookViewId="0">
      <selection activeCell="F24" sqref="A1:F24"/>
    </sheetView>
  </sheetViews>
  <sheetFormatPr baseColWidth="10" defaultRowHeight="15"/>
  <cols>
    <col min="1" max="1" width="9" bestFit="1" customWidth="1"/>
    <col min="2" max="2" width="29.33203125" bestFit="1" customWidth="1"/>
    <col min="3" max="3" width="13.5" bestFit="1" customWidth="1"/>
    <col min="4" max="4" width="34" bestFit="1" customWidth="1"/>
    <col min="5" max="5" width="80" bestFit="1" customWidth="1"/>
    <col min="6" max="6" width="14.1640625" bestFit="1" customWidth="1"/>
  </cols>
  <sheetData>
    <row r="1" spans="1:6">
      <c r="A1" s="197" t="s">
        <v>451</v>
      </c>
      <c r="B1" s="197" t="s">
        <v>435</v>
      </c>
      <c r="C1" s="197" t="s">
        <v>619</v>
      </c>
      <c r="D1" s="197" t="s">
        <v>436</v>
      </c>
      <c r="E1" s="197" t="s">
        <v>571</v>
      </c>
      <c r="F1" s="197" t="s">
        <v>620</v>
      </c>
    </row>
    <row r="2" spans="1:6">
      <c r="A2">
        <v>5001</v>
      </c>
      <c r="B2" t="s">
        <v>568</v>
      </c>
      <c r="C2" t="s">
        <v>621</v>
      </c>
      <c r="D2" t="s">
        <v>622</v>
      </c>
      <c r="E2" t="s">
        <v>623</v>
      </c>
      <c r="F2" t="s">
        <v>624</v>
      </c>
    </row>
    <row r="3" spans="1:6">
      <c r="A3">
        <v>5002</v>
      </c>
      <c r="B3" t="s">
        <v>568</v>
      </c>
      <c r="C3" t="s">
        <v>621</v>
      </c>
      <c r="D3" t="s">
        <v>622</v>
      </c>
      <c r="E3" t="s">
        <v>623</v>
      </c>
      <c r="F3" t="s">
        <v>624</v>
      </c>
    </row>
    <row r="4" spans="1:6">
      <c r="A4">
        <v>5003</v>
      </c>
      <c r="B4" t="s">
        <v>568</v>
      </c>
      <c r="C4" t="s">
        <v>621</v>
      </c>
      <c r="D4" t="s">
        <v>622</v>
      </c>
      <c r="E4" t="s">
        <v>623</v>
      </c>
      <c r="F4" t="s">
        <v>624</v>
      </c>
    </row>
    <row r="5" spans="1:6">
      <c r="A5">
        <v>5004</v>
      </c>
      <c r="B5" t="s">
        <v>568</v>
      </c>
      <c r="C5" t="s">
        <v>621</v>
      </c>
      <c r="D5" t="s">
        <v>622</v>
      </c>
      <c r="E5" t="s">
        <v>623</v>
      </c>
      <c r="F5" t="s">
        <v>624</v>
      </c>
    </row>
    <row r="6" spans="1:6">
      <c r="A6">
        <v>5005</v>
      </c>
      <c r="B6" t="s">
        <v>568</v>
      </c>
      <c r="C6" t="s">
        <v>621</v>
      </c>
      <c r="D6" t="s">
        <v>622</v>
      </c>
      <c r="E6" t="s">
        <v>623</v>
      </c>
      <c r="F6" t="s">
        <v>624</v>
      </c>
    </row>
    <row r="7" spans="1:6">
      <c r="A7">
        <v>5015</v>
      </c>
      <c r="B7" t="s">
        <v>568</v>
      </c>
      <c r="C7" t="s">
        <v>621</v>
      </c>
      <c r="D7" t="s">
        <v>622</v>
      </c>
      <c r="E7" t="s">
        <v>623</v>
      </c>
      <c r="F7" t="s">
        <v>624</v>
      </c>
    </row>
    <row r="8" spans="1:6">
      <c r="A8">
        <v>5016</v>
      </c>
      <c r="B8" t="s">
        <v>568</v>
      </c>
      <c r="C8" t="s">
        <v>621</v>
      </c>
      <c r="D8" t="s">
        <v>622</v>
      </c>
      <c r="E8" t="s">
        <v>623</v>
      </c>
      <c r="F8" t="s">
        <v>624</v>
      </c>
    </row>
    <row r="9" spans="1:6">
      <c r="A9">
        <v>5007</v>
      </c>
      <c r="B9" t="s">
        <v>565</v>
      </c>
      <c r="C9" t="s">
        <v>625</v>
      </c>
      <c r="D9" t="s">
        <v>626</v>
      </c>
      <c r="E9" t="s">
        <v>627</v>
      </c>
      <c r="F9" t="s">
        <v>624</v>
      </c>
    </row>
    <row r="10" spans="1:6">
      <c r="A10">
        <v>5017</v>
      </c>
      <c r="B10" t="s">
        <v>565</v>
      </c>
      <c r="C10" t="s">
        <v>625</v>
      </c>
      <c r="D10" t="s">
        <v>626</v>
      </c>
      <c r="E10" t="s">
        <v>627</v>
      </c>
      <c r="F10" t="s">
        <v>624</v>
      </c>
    </row>
    <row r="11" spans="1:6">
      <c r="A11">
        <v>5019</v>
      </c>
      <c r="B11" t="s">
        <v>565</v>
      </c>
      <c r="C11" t="s">
        <v>625</v>
      </c>
      <c r="D11" t="s">
        <v>626</v>
      </c>
      <c r="E11" t="s">
        <v>627</v>
      </c>
      <c r="F11" t="s">
        <v>624</v>
      </c>
    </row>
    <row r="12" spans="1:6">
      <c r="A12">
        <v>5006</v>
      </c>
      <c r="B12" t="s">
        <v>564</v>
      </c>
      <c r="C12" t="s">
        <v>628</v>
      </c>
      <c r="D12" t="s">
        <v>629</v>
      </c>
      <c r="E12" t="s">
        <v>630</v>
      </c>
      <c r="F12" t="s">
        <v>624</v>
      </c>
    </row>
    <row r="13" spans="1:6">
      <c r="A13">
        <v>5018</v>
      </c>
      <c r="B13" t="s">
        <v>564</v>
      </c>
      <c r="C13" t="s">
        <v>628</v>
      </c>
      <c r="D13" t="s">
        <v>629</v>
      </c>
      <c r="E13" t="s">
        <v>630</v>
      </c>
      <c r="F13" t="s">
        <v>624</v>
      </c>
    </row>
    <row r="14" spans="1:6">
      <c r="A14">
        <v>2037</v>
      </c>
      <c r="B14" t="s">
        <v>631</v>
      </c>
      <c r="C14" t="s">
        <v>632</v>
      </c>
      <c r="D14" t="s">
        <v>633</v>
      </c>
      <c r="E14" t="s">
        <v>634</v>
      </c>
      <c r="F14" t="s">
        <v>624</v>
      </c>
    </row>
    <row r="15" spans="1:6">
      <c r="A15">
        <v>5011</v>
      </c>
      <c r="B15" t="s">
        <v>635</v>
      </c>
      <c r="C15" t="s">
        <v>632</v>
      </c>
      <c r="D15" t="s">
        <v>633</v>
      </c>
      <c r="E15" t="s">
        <v>636</v>
      </c>
      <c r="F15" t="s">
        <v>624</v>
      </c>
    </row>
    <row r="16" spans="1:6">
      <c r="A16">
        <v>2008</v>
      </c>
      <c r="B16" t="s">
        <v>637</v>
      </c>
      <c r="C16" t="s">
        <v>638</v>
      </c>
      <c r="D16" t="s">
        <v>639</v>
      </c>
      <c r="E16" t="s">
        <v>640</v>
      </c>
      <c r="F16" t="s">
        <v>624</v>
      </c>
    </row>
    <row r="17" spans="1:6">
      <c r="A17">
        <v>2096</v>
      </c>
      <c r="B17" t="s">
        <v>641</v>
      </c>
      <c r="C17" t="s">
        <v>642</v>
      </c>
      <c r="D17" t="s">
        <v>643</v>
      </c>
      <c r="E17" t="s">
        <v>644</v>
      </c>
      <c r="F17" t="s">
        <v>624</v>
      </c>
    </row>
    <row r="18" spans="1:6">
      <c r="A18">
        <v>2097</v>
      </c>
      <c r="B18" t="s">
        <v>641</v>
      </c>
      <c r="C18" t="s">
        <v>642</v>
      </c>
      <c r="D18" t="s">
        <v>643</v>
      </c>
      <c r="E18" t="s">
        <v>644</v>
      </c>
      <c r="F18" t="s">
        <v>624</v>
      </c>
    </row>
    <row r="19" spans="1:6">
      <c r="A19">
        <v>2125</v>
      </c>
      <c r="B19" t="s">
        <v>641</v>
      </c>
      <c r="C19" t="s">
        <v>642</v>
      </c>
      <c r="D19" t="s">
        <v>643</v>
      </c>
      <c r="E19" t="s">
        <v>644</v>
      </c>
      <c r="F19" t="s">
        <v>624</v>
      </c>
    </row>
    <row r="20" spans="1:6">
      <c r="B20" t="s">
        <v>645</v>
      </c>
      <c r="C20" t="s">
        <v>638</v>
      </c>
      <c r="D20" t="s">
        <v>639</v>
      </c>
      <c r="E20" t="s">
        <v>646</v>
      </c>
      <c r="F20" t="s">
        <v>624</v>
      </c>
    </row>
    <row r="21" spans="1:6">
      <c r="B21" t="s">
        <v>647</v>
      </c>
      <c r="C21" t="s">
        <v>648</v>
      </c>
      <c r="D21" t="s">
        <v>649</v>
      </c>
      <c r="E21" t="s">
        <v>650</v>
      </c>
      <c r="F21" t="s">
        <v>624</v>
      </c>
    </row>
    <row r="22" spans="1:6">
      <c r="B22" t="s">
        <v>651</v>
      </c>
      <c r="C22" t="s">
        <v>652</v>
      </c>
      <c r="D22" t="s">
        <v>653</v>
      </c>
      <c r="E22" t="s">
        <v>654</v>
      </c>
      <c r="F22" t="s">
        <v>655</v>
      </c>
    </row>
    <row r="23" spans="1:6">
      <c r="B23" t="s">
        <v>656</v>
      </c>
      <c r="C23" t="s">
        <v>569</v>
      </c>
      <c r="D23" t="s">
        <v>657</v>
      </c>
      <c r="E23" t="s">
        <v>658</v>
      </c>
      <c r="F23" t="s">
        <v>624</v>
      </c>
    </row>
    <row r="24" spans="1:6">
      <c r="B24" t="s">
        <v>560</v>
      </c>
      <c r="C24" t="s">
        <v>70</v>
      </c>
      <c r="D24" t="s">
        <v>1106</v>
      </c>
      <c r="E24" t="s">
        <v>1107</v>
      </c>
      <c r="F24" t="s">
        <v>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3EA6-830D-A64D-90F3-0D2CA61CBB02}">
  <dimension ref="A1:A5"/>
  <sheetViews>
    <sheetView workbookViewId="0">
      <selection activeCell="A5" sqref="A5"/>
    </sheetView>
  </sheetViews>
  <sheetFormatPr baseColWidth="10" defaultRowHeight="15"/>
  <cols>
    <col min="1" max="1" width="14.6640625" bestFit="1" customWidth="1"/>
  </cols>
  <sheetData>
    <row r="1" spans="1:1">
      <c r="A1" t="s">
        <v>995</v>
      </c>
    </row>
    <row r="2" spans="1:1">
      <c r="A2" t="s">
        <v>1047</v>
      </c>
    </row>
    <row r="3" spans="1:1">
      <c r="A3" t="s">
        <v>1047</v>
      </c>
    </row>
    <row r="4" spans="1:1">
      <c r="A4" t="s">
        <v>1047</v>
      </c>
    </row>
    <row r="5" spans="1:1">
      <c r="A5" t="s">
        <v>1047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8FAC-6ADF-3F45-9C01-7FEAF418D11E}">
  <dimension ref="A1:B7"/>
  <sheetViews>
    <sheetView workbookViewId="0">
      <selection activeCell="B21" sqref="B21"/>
    </sheetView>
  </sheetViews>
  <sheetFormatPr baseColWidth="10" defaultRowHeight="15"/>
  <cols>
    <col min="1" max="1" width="28.1640625" bestFit="1" customWidth="1"/>
    <col min="2" max="2" width="199.6640625" bestFit="1" customWidth="1"/>
  </cols>
  <sheetData>
    <row r="1" spans="1:2">
      <c r="A1" s="197" t="s">
        <v>980</v>
      </c>
      <c r="B1" s="197" t="s">
        <v>571</v>
      </c>
    </row>
    <row r="2" spans="1:2">
      <c r="A2" t="s">
        <v>981</v>
      </c>
      <c r="B2" t="s">
        <v>982</v>
      </c>
    </row>
    <row r="3" spans="1:2">
      <c r="A3" t="s">
        <v>983</v>
      </c>
      <c r="B3" t="s">
        <v>984</v>
      </c>
    </row>
    <row r="4" spans="1:2">
      <c r="A4" t="s">
        <v>985</v>
      </c>
      <c r="B4" t="s">
        <v>986</v>
      </c>
    </row>
    <row r="5" spans="1:2">
      <c r="A5" t="s">
        <v>987</v>
      </c>
      <c r="B5" t="s">
        <v>988</v>
      </c>
    </row>
    <row r="6" spans="1:2">
      <c r="A6" t="s">
        <v>989</v>
      </c>
      <c r="B6" t="s">
        <v>990</v>
      </c>
    </row>
    <row r="7" spans="1:2">
      <c r="A7" t="s">
        <v>991</v>
      </c>
      <c r="B7" t="s">
        <v>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E6F9-9DFF-8042-BE51-7995730C55C6}">
  <dimension ref="A1:T43"/>
  <sheetViews>
    <sheetView workbookViewId="0">
      <selection activeCell="C16" sqref="C16"/>
    </sheetView>
  </sheetViews>
  <sheetFormatPr baseColWidth="10" defaultRowHeight="15"/>
  <cols>
    <col min="1" max="1" width="15.83203125" bestFit="1" customWidth="1"/>
    <col min="2" max="2" width="11.1640625" bestFit="1" customWidth="1"/>
    <col min="3" max="3" width="30.5" bestFit="1" customWidth="1"/>
    <col min="4" max="4" width="10.1640625" bestFit="1" customWidth="1"/>
    <col min="6" max="6" width="14.1640625" bestFit="1" customWidth="1"/>
    <col min="7" max="7" width="9.83203125" bestFit="1" customWidth="1"/>
    <col min="8" max="8" width="14.6640625" bestFit="1" customWidth="1"/>
    <col min="9" max="9" width="26" bestFit="1" customWidth="1"/>
    <col min="10" max="11" width="23.6640625" bestFit="1" customWidth="1"/>
    <col min="12" max="12" width="18" bestFit="1" customWidth="1"/>
    <col min="13" max="13" width="9.1640625" bestFit="1" customWidth="1"/>
    <col min="14" max="18" width="23.6640625" bestFit="1" customWidth="1"/>
    <col min="19" max="19" width="19.6640625" bestFit="1" customWidth="1"/>
    <col min="20" max="20" width="16" bestFit="1" customWidth="1"/>
  </cols>
  <sheetData>
    <row r="1" spans="1:20">
      <c r="A1" s="287" t="s">
        <v>993</v>
      </c>
      <c r="B1" s="287" t="s">
        <v>994</v>
      </c>
      <c r="C1" s="288" t="s">
        <v>995</v>
      </c>
      <c r="D1" s="288" t="s">
        <v>996</v>
      </c>
      <c r="E1" s="288" t="s">
        <v>997</v>
      </c>
      <c r="F1" s="288" t="s">
        <v>998</v>
      </c>
      <c r="G1" s="289" t="s">
        <v>999</v>
      </c>
      <c r="H1" s="289" t="s">
        <v>1000</v>
      </c>
      <c r="I1" s="289" t="s">
        <v>1001</v>
      </c>
      <c r="J1" s="289" t="s">
        <v>1002</v>
      </c>
      <c r="K1" s="289" t="s">
        <v>1003</v>
      </c>
      <c r="L1" s="289" t="s">
        <v>1004</v>
      </c>
      <c r="M1" s="289" t="s">
        <v>1005</v>
      </c>
      <c r="N1" s="289" t="s">
        <v>1002</v>
      </c>
      <c r="O1" s="289" t="s">
        <v>1003</v>
      </c>
      <c r="P1" s="289" t="s">
        <v>1006</v>
      </c>
      <c r="Q1" s="289" t="s">
        <v>1007</v>
      </c>
      <c r="R1" s="289" t="s">
        <v>1008</v>
      </c>
      <c r="S1" s="289" t="s">
        <v>1009</v>
      </c>
      <c r="T1" s="289" t="s">
        <v>1010</v>
      </c>
    </row>
    <row r="2" spans="1:20">
      <c r="A2" s="288" t="s">
        <v>769</v>
      </c>
      <c r="B2" s="288"/>
      <c r="C2" s="288" t="s">
        <v>1011</v>
      </c>
      <c r="D2" s="288" t="s">
        <v>1012</v>
      </c>
      <c r="E2" s="76" t="s">
        <v>577</v>
      </c>
      <c r="F2" s="76"/>
      <c r="G2" s="76" t="s">
        <v>1013</v>
      </c>
      <c r="H2" s="76">
        <v>10</v>
      </c>
      <c r="I2" s="76" t="s">
        <v>1014</v>
      </c>
      <c r="J2" s="76">
        <v>110</v>
      </c>
      <c r="K2" s="76"/>
      <c r="L2" s="76" t="s">
        <v>1015</v>
      </c>
      <c r="M2" s="76" t="s">
        <v>1016</v>
      </c>
      <c r="N2" s="76">
        <v>110</v>
      </c>
      <c r="O2" s="76">
        <v>100</v>
      </c>
      <c r="P2" s="76"/>
      <c r="Q2" s="76"/>
      <c r="R2" s="76"/>
      <c r="S2" s="76">
        <v>210</v>
      </c>
      <c r="T2" s="76" t="s">
        <v>1017</v>
      </c>
    </row>
    <row r="3" spans="1:20">
      <c r="A3" s="288" t="s">
        <v>768</v>
      </c>
      <c r="B3" s="288"/>
      <c r="C3" s="288" t="s">
        <v>1018</v>
      </c>
      <c r="D3" s="76" t="s">
        <v>1019</v>
      </c>
      <c r="E3" s="76" t="s">
        <v>577</v>
      </c>
      <c r="F3" s="76"/>
      <c r="G3" s="76" t="s">
        <v>1013</v>
      </c>
      <c r="H3" s="76">
        <v>10</v>
      </c>
      <c r="I3" s="76"/>
      <c r="J3" s="76">
        <v>110</v>
      </c>
      <c r="K3" s="76"/>
      <c r="L3" s="76" t="s">
        <v>1020</v>
      </c>
      <c r="M3" s="76" t="s">
        <v>1016</v>
      </c>
      <c r="N3" s="76">
        <v>110</v>
      </c>
      <c r="O3" s="76"/>
      <c r="P3" s="76"/>
      <c r="Q3" s="76"/>
      <c r="R3" s="76"/>
      <c r="S3" s="76">
        <v>210</v>
      </c>
      <c r="T3" s="76" t="s">
        <v>1017</v>
      </c>
    </row>
    <row r="4" spans="1:20">
      <c r="A4" s="288" t="s">
        <v>499</v>
      </c>
      <c r="B4" s="288"/>
      <c r="C4" s="288" t="s">
        <v>389</v>
      </c>
      <c r="D4" s="288" t="s">
        <v>1021</v>
      </c>
      <c r="E4" s="76"/>
      <c r="F4" s="76"/>
      <c r="G4" s="76" t="s">
        <v>1013</v>
      </c>
      <c r="H4" s="76">
        <v>10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</row>
    <row r="5" spans="1:20">
      <c r="A5" s="288" t="s">
        <v>773</v>
      </c>
      <c r="B5" s="288"/>
      <c r="C5" s="288" t="s">
        <v>1022</v>
      </c>
      <c r="D5" s="288" t="s">
        <v>1023</v>
      </c>
      <c r="E5" s="76" t="s">
        <v>1024</v>
      </c>
      <c r="F5" s="76"/>
      <c r="G5" s="76" t="s">
        <v>1013</v>
      </c>
      <c r="H5" s="76">
        <v>10</v>
      </c>
      <c r="I5" s="76"/>
      <c r="J5" s="76">
        <v>150</v>
      </c>
      <c r="K5" s="76"/>
      <c r="L5" s="76" t="s">
        <v>1025</v>
      </c>
      <c r="M5" s="76" t="s">
        <v>1016</v>
      </c>
      <c r="N5" s="76">
        <v>150</v>
      </c>
      <c r="O5" s="76"/>
      <c r="P5" s="76"/>
      <c r="Q5" s="76"/>
      <c r="R5" s="76"/>
      <c r="S5" s="76">
        <v>210</v>
      </c>
      <c r="T5" s="76" t="s">
        <v>1017</v>
      </c>
    </row>
    <row r="6" spans="1:20">
      <c r="A6" s="288" t="s">
        <v>746</v>
      </c>
      <c r="B6" s="288"/>
      <c r="C6" s="288" t="s">
        <v>1026</v>
      </c>
      <c r="D6" s="288" t="s">
        <v>1027</v>
      </c>
      <c r="E6" s="76" t="s">
        <v>1028</v>
      </c>
      <c r="F6" s="76"/>
      <c r="G6" s="76" t="s">
        <v>1013</v>
      </c>
      <c r="H6" s="76">
        <v>10</v>
      </c>
      <c r="I6" s="76"/>
      <c r="J6" s="76">
        <v>30</v>
      </c>
      <c r="K6" s="76"/>
      <c r="L6" s="76" t="s">
        <v>1029</v>
      </c>
      <c r="M6" s="76" t="s">
        <v>1015</v>
      </c>
      <c r="N6" s="76">
        <v>30</v>
      </c>
      <c r="O6" s="76"/>
      <c r="P6" s="76"/>
      <c r="Q6" s="76"/>
      <c r="R6" s="76"/>
      <c r="S6" s="76">
        <v>210</v>
      </c>
      <c r="T6" s="76" t="s">
        <v>1017</v>
      </c>
    </row>
    <row r="7" spans="1:20">
      <c r="A7" s="288" t="s">
        <v>746</v>
      </c>
      <c r="B7" s="288"/>
      <c r="C7" s="288" t="s">
        <v>1030</v>
      </c>
      <c r="D7" s="288" t="s">
        <v>1027</v>
      </c>
      <c r="E7" s="76" t="s">
        <v>1031</v>
      </c>
      <c r="F7" s="76"/>
      <c r="G7" s="76" t="s">
        <v>1013</v>
      </c>
      <c r="H7" s="76">
        <v>10</v>
      </c>
      <c r="I7" s="76"/>
      <c r="J7" s="76">
        <v>20</v>
      </c>
      <c r="K7" s="76"/>
      <c r="L7" s="76" t="s">
        <v>1032</v>
      </c>
      <c r="M7" s="76" t="s">
        <v>1015</v>
      </c>
      <c r="N7" s="76">
        <v>20</v>
      </c>
      <c r="O7" s="76"/>
      <c r="P7" s="76"/>
      <c r="Q7" s="76"/>
      <c r="R7" s="76"/>
      <c r="S7" s="76">
        <v>210</v>
      </c>
      <c r="T7" s="76" t="s">
        <v>1017</v>
      </c>
    </row>
    <row r="8" spans="1:20">
      <c r="A8" s="288" t="s">
        <v>702</v>
      </c>
      <c r="B8" s="288"/>
      <c r="C8" s="288" t="s">
        <v>1033</v>
      </c>
      <c r="D8" s="288" t="s">
        <v>1034</v>
      </c>
      <c r="E8" s="76"/>
      <c r="F8" s="76"/>
      <c r="G8" s="76" t="s">
        <v>1013</v>
      </c>
      <c r="H8" s="76">
        <v>10</v>
      </c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</row>
    <row r="9" spans="1:20">
      <c r="A9" s="288" t="s">
        <v>702</v>
      </c>
      <c r="B9" s="288"/>
      <c r="C9" s="288" t="s">
        <v>1035</v>
      </c>
      <c r="D9" s="288" t="s">
        <v>1036</v>
      </c>
      <c r="E9" s="76"/>
      <c r="F9" s="76"/>
      <c r="G9" s="76" t="s">
        <v>1013</v>
      </c>
      <c r="H9" s="76">
        <v>10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</row>
    <row r="10" spans="1:20">
      <c r="A10" s="288" t="s">
        <v>776</v>
      </c>
      <c r="B10" s="288"/>
      <c r="C10" s="288" t="s">
        <v>1037</v>
      </c>
      <c r="D10" s="288" t="s">
        <v>1038</v>
      </c>
      <c r="E10" s="76"/>
      <c r="F10" s="76"/>
      <c r="G10" s="76" t="s">
        <v>1013</v>
      </c>
      <c r="H10" s="76">
        <v>10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</row>
    <row r="11" spans="1:20">
      <c r="A11" s="288" t="s">
        <v>707</v>
      </c>
      <c r="B11" s="288"/>
      <c r="C11" s="76" t="s">
        <v>1039</v>
      </c>
      <c r="D11" s="288" t="s">
        <v>1040</v>
      </c>
      <c r="E11" s="76"/>
      <c r="F11" s="76"/>
      <c r="G11" s="76" t="s">
        <v>1013</v>
      </c>
      <c r="H11" s="76">
        <v>10</v>
      </c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</row>
    <row r="12" spans="1:20">
      <c r="A12" s="288" t="s">
        <v>707</v>
      </c>
      <c r="B12" s="288"/>
      <c r="C12" s="76" t="s">
        <v>1041</v>
      </c>
      <c r="D12" s="288" t="s">
        <v>1040</v>
      </c>
      <c r="E12" s="76"/>
      <c r="F12" s="76"/>
      <c r="G12" s="76" t="s">
        <v>1013</v>
      </c>
      <c r="H12" s="76">
        <v>10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</row>
    <row r="13" spans="1:20">
      <c r="A13" s="288" t="s">
        <v>707</v>
      </c>
      <c r="B13" s="288"/>
      <c r="C13" s="76" t="s">
        <v>1041</v>
      </c>
      <c r="D13" s="288" t="s">
        <v>1042</v>
      </c>
      <c r="E13" s="76"/>
      <c r="F13" s="76"/>
      <c r="G13" s="76" t="s">
        <v>1013</v>
      </c>
      <c r="H13" s="76">
        <v>10</v>
      </c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</row>
    <row r="14" spans="1:20">
      <c r="A14" s="288" t="s">
        <v>722</v>
      </c>
      <c r="B14" s="76" t="s">
        <v>1043</v>
      </c>
      <c r="C14" s="288" t="s">
        <v>1044</v>
      </c>
      <c r="D14" s="288" t="s">
        <v>1045</v>
      </c>
      <c r="E14" s="76"/>
      <c r="F14" s="76"/>
      <c r="G14" s="76" t="s">
        <v>1013</v>
      </c>
      <c r="H14" s="76">
        <v>10</v>
      </c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 spans="1:20">
      <c r="A15" s="288" t="s">
        <v>722</v>
      </c>
      <c r="B15" s="76" t="s">
        <v>1046</v>
      </c>
      <c r="C15" s="287" t="s">
        <v>1047</v>
      </c>
      <c r="D15" s="288" t="s">
        <v>1045</v>
      </c>
      <c r="E15" s="76"/>
      <c r="F15" s="76"/>
      <c r="G15" s="76" t="s">
        <v>1013</v>
      </c>
      <c r="H15" s="76">
        <v>10</v>
      </c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</row>
    <row r="16" spans="1:20">
      <c r="A16" s="288" t="s">
        <v>722</v>
      </c>
      <c r="B16" s="76" t="s">
        <v>1046</v>
      </c>
      <c r="C16" s="287" t="s">
        <v>1047</v>
      </c>
      <c r="D16" s="288" t="s">
        <v>1048</v>
      </c>
      <c r="E16" s="76"/>
      <c r="F16" s="76"/>
      <c r="G16" s="76" t="s">
        <v>1013</v>
      </c>
      <c r="H16" s="76">
        <v>10</v>
      </c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</row>
    <row r="17" spans="1:20">
      <c r="A17" s="288" t="s">
        <v>742</v>
      </c>
      <c r="B17" s="288"/>
      <c r="C17" s="288" t="s">
        <v>1049</v>
      </c>
      <c r="D17" s="288" t="s">
        <v>1050</v>
      </c>
      <c r="E17" s="76"/>
      <c r="F17" s="76"/>
      <c r="G17" s="76" t="s">
        <v>1051</v>
      </c>
      <c r="H17" s="76">
        <v>10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</row>
    <row r="18" spans="1:20">
      <c r="A18" s="288" t="s">
        <v>742</v>
      </c>
      <c r="B18" s="288"/>
      <c r="C18" s="288" t="s">
        <v>1052</v>
      </c>
      <c r="D18" s="288" t="s">
        <v>1050</v>
      </c>
      <c r="E18" s="76"/>
      <c r="F18" s="76"/>
      <c r="G18" s="76" t="s">
        <v>1051</v>
      </c>
      <c r="H18" s="76">
        <v>10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</row>
    <row r="19" spans="1:20">
      <c r="A19" s="288" t="s">
        <v>678</v>
      </c>
      <c r="B19" s="288"/>
      <c r="C19" s="288" t="s">
        <v>1053</v>
      </c>
      <c r="D19" s="288" t="s">
        <v>1054</v>
      </c>
      <c r="E19" s="76"/>
      <c r="F19" s="76"/>
      <c r="G19" s="76" t="s">
        <v>1051</v>
      </c>
      <c r="H19" s="76">
        <v>10</v>
      </c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</row>
    <row r="20" spans="1:20">
      <c r="A20" s="288" t="s">
        <v>678</v>
      </c>
      <c r="B20" s="288"/>
      <c r="C20" s="288" t="s">
        <v>1055</v>
      </c>
      <c r="D20" s="288" t="s">
        <v>1054</v>
      </c>
      <c r="E20" s="76"/>
      <c r="F20" s="76"/>
      <c r="G20" s="76" t="s">
        <v>1051</v>
      </c>
      <c r="H20" s="76">
        <v>10</v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</row>
    <row r="21" spans="1:20">
      <c r="A21" s="288" t="s">
        <v>750</v>
      </c>
      <c r="B21" s="288"/>
      <c r="C21" s="288" t="s">
        <v>1056</v>
      </c>
      <c r="D21" s="288" t="s">
        <v>1057</v>
      </c>
      <c r="E21" s="76"/>
      <c r="F21" s="76"/>
      <c r="G21" s="76" t="s">
        <v>1051</v>
      </c>
      <c r="H21" s="76">
        <v>10</v>
      </c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</row>
    <row r="22" spans="1:20">
      <c r="A22" s="288" t="s">
        <v>1058</v>
      </c>
      <c r="B22" s="288"/>
      <c r="C22" s="288" t="s">
        <v>1059</v>
      </c>
      <c r="D22" s="288" t="s">
        <v>1060</v>
      </c>
      <c r="E22" s="76"/>
      <c r="F22" s="76"/>
      <c r="G22" s="76" t="s">
        <v>1051</v>
      </c>
      <c r="H22" s="76">
        <v>10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</row>
    <row r="23" spans="1:20">
      <c r="A23" s="288" t="s">
        <v>751</v>
      </c>
      <c r="B23" s="288"/>
      <c r="C23" s="288" t="s">
        <v>1061</v>
      </c>
      <c r="D23" s="288" t="s">
        <v>1062</v>
      </c>
      <c r="E23" s="76"/>
      <c r="F23" s="76"/>
      <c r="G23" s="76" t="s">
        <v>1051</v>
      </c>
      <c r="H23" s="76">
        <v>10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</row>
    <row r="24" spans="1:20">
      <c r="A24" s="288" t="s">
        <v>1063</v>
      </c>
      <c r="B24" s="288"/>
      <c r="C24" s="288" t="s">
        <v>1064</v>
      </c>
      <c r="D24" s="288" t="s">
        <v>1065</v>
      </c>
      <c r="E24" s="76"/>
      <c r="F24" s="76"/>
      <c r="G24" s="76" t="s">
        <v>1051</v>
      </c>
      <c r="H24" s="76">
        <v>10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</row>
    <row r="25" spans="1:20">
      <c r="A25" s="288" t="s">
        <v>664</v>
      </c>
      <c r="B25" s="288"/>
      <c r="C25" s="288" t="s">
        <v>1066</v>
      </c>
      <c r="D25" s="288" t="s">
        <v>1067</v>
      </c>
      <c r="E25" s="76"/>
      <c r="F25" s="76"/>
      <c r="G25" s="76" t="s">
        <v>1051</v>
      </c>
      <c r="H25" s="76">
        <v>10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</row>
    <row r="26" spans="1:20">
      <c r="A26" s="288" t="s">
        <v>674</v>
      </c>
      <c r="B26" s="288"/>
      <c r="C26" s="288" t="s">
        <v>1068</v>
      </c>
      <c r="D26" s="288" t="s">
        <v>1069</v>
      </c>
      <c r="E26" s="76"/>
      <c r="F26" s="76"/>
      <c r="G26" s="76" t="s">
        <v>1051</v>
      </c>
      <c r="H26" s="76">
        <v>10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</row>
    <row r="27" spans="1:20">
      <c r="A27" s="288" t="s">
        <v>718</v>
      </c>
      <c r="B27" s="288"/>
      <c r="C27" s="288" t="s">
        <v>1070</v>
      </c>
      <c r="D27" s="288" t="s">
        <v>1071</v>
      </c>
      <c r="E27" s="76"/>
      <c r="F27" s="76"/>
      <c r="G27" s="76" t="s">
        <v>1051</v>
      </c>
      <c r="H27" s="76">
        <v>10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</row>
    <row r="28" spans="1:20">
      <c r="A28" s="288" t="s">
        <v>754</v>
      </c>
      <c r="B28" s="288"/>
      <c r="C28" s="288" t="s">
        <v>1068</v>
      </c>
      <c r="D28" s="288" t="s">
        <v>1072</v>
      </c>
      <c r="E28" s="76"/>
      <c r="F28" s="76"/>
      <c r="G28" s="76" t="s">
        <v>1051</v>
      </c>
      <c r="H28" s="76">
        <v>10</v>
      </c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</row>
    <row r="29" spans="1:20">
      <c r="A29" s="288" t="s">
        <v>775</v>
      </c>
      <c r="B29" s="288"/>
      <c r="C29" s="288" t="s">
        <v>1073</v>
      </c>
      <c r="D29" s="288" t="s">
        <v>1074</v>
      </c>
      <c r="E29" s="76"/>
      <c r="F29" s="76"/>
      <c r="G29" s="76" t="s">
        <v>1013</v>
      </c>
      <c r="H29" s="76">
        <v>10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</row>
    <row r="30" spans="1:20">
      <c r="A30" s="288" t="s">
        <v>690</v>
      </c>
      <c r="B30" s="288"/>
      <c r="C30" s="288" t="s">
        <v>1075</v>
      </c>
      <c r="D30" s="288" t="s">
        <v>1076</v>
      </c>
      <c r="E30" s="76"/>
      <c r="F30" s="76"/>
      <c r="G30" s="76" t="s">
        <v>1013</v>
      </c>
      <c r="H30" s="76">
        <v>10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</row>
    <row r="31" spans="1:20">
      <c r="A31" s="288" t="s">
        <v>690</v>
      </c>
      <c r="B31" s="288"/>
      <c r="C31" s="288" t="s">
        <v>1077</v>
      </c>
      <c r="D31" s="288" t="s">
        <v>1076</v>
      </c>
      <c r="E31" s="76"/>
      <c r="F31" s="76"/>
      <c r="G31" s="76" t="s">
        <v>1013</v>
      </c>
      <c r="H31" s="76">
        <v>10</v>
      </c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</row>
    <row r="32" spans="1:20">
      <c r="A32" s="288" t="s">
        <v>690</v>
      </c>
      <c r="B32" s="288"/>
      <c r="C32" s="288" t="s">
        <v>1078</v>
      </c>
      <c r="D32" s="288" t="s">
        <v>1076</v>
      </c>
      <c r="E32" s="76"/>
      <c r="F32" s="76"/>
      <c r="G32" s="76" t="s">
        <v>1013</v>
      </c>
      <c r="H32" s="76">
        <v>10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</row>
    <row r="33" spans="1:20">
      <c r="A33" s="288" t="s">
        <v>1079</v>
      </c>
      <c r="B33" s="288"/>
      <c r="C33" s="288" t="s">
        <v>1080</v>
      </c>
      <c r="D33" s="288" t="s">
        <v>1081</v>
      </c>
      <c r="E33" s="76"/>
      <c r="F33" s="76"/>
      <c r="G33" s="76" t="s">
        <v>1013</v>
      </c>
      <c r="H33" s="76">
        <v>10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</row>
    <row r="34" spans="1:20">
      <c r="A34" s="288" t="s">
        <v>685</v>
      </c>
      <c r="B34" s="288"/>
      <c r="C34" s="288" t="s">
        <v>1082</v>
      </c>
      <c r="D34" s="288" t="s">
        <v>1083</v>
      </c>
      <c r="E34" s="76"/>
      <c r="F34" s="76"/>
      <c r="G34" s="76" t="s">
        <v>1013</v>
      </c>
      <c r="H34" s="76">
        <v>10</v>
      </c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 spans="1:20">
      <c r="A35" s="288" t="s">
        <v>774</v>
      </c>
      <c r="B35" s="288"/>
      <c r="C35" s="288" t="s">
        <v>1084</v>
      </c>
      <c r="D35" s="288" t="s">
        <v>1085</v>
      </c>
      <c r="E35" s="76"/>
      <c r="F35" s="76"/>
      <c r="G35" s="76" t="s">
        <v>1051</v>
      </c>
      <c r="H35" s="76">
        <v>10</v>
      </c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</row>
    <row r="36" spans="1:20">
      <c r="A36" s="288" t="s">
        <v>1086</v>
      </c>
      <c r="B36" s="288"/>
      <c r="C36" s="288" t="s">
        <v>1087</v>
      </c>
      <c r="D36" s="288" t="s">
        <v>1088</v>
      </c>
      <c r="E36" s="76"/>
      <c r="F36" s="76"/>
      <c r="G36" s="76" t="s">
        <v>1051</v>
      </c>
      <c r="H36" s="76">
        <v>10</v>
      </c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</row>
    <row r="37" spans="1:20">
      <c r="A37" s="288" t="s">
        <v>749</v>
      </c>
      <c r="B37" s="288"/>
      <c r="C37" s="288" t="s">
        <v>1089</v>
      </c>
      <c r="D37" s="288" t="s">
        <v>1090</v>
      </c>
      <c r="E37" s="76"/>
      <c r="F37" s="76"/>
      <c r="G37" s="76" t="s">
        <v>1051</v>
      </c>
      <c r="H37" s="76">
        <v>10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</row>
    <row r="38" spans="1:20">
      <c r="A38" s="288" t="s">
        <v>749</v>
      </c>
      <c r="B38" s="288"/>
      <c r="C38" s="288" t="s">
        <v>1091</v>
      </c>
      <c r="D38" s="288" t="s">
        <v>1092</v>
      </c>
      <c r="E38" s="76"/>
      <c r="F38" s="76"/>
      <c r="G38" s="76" t="s">
        <v>1051</v>
      </c>
      <c r="H38" s="76">
        <v>10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</row>
    <row r="39" spans="1:20">
      <c r="A39" s="288" t="s">
        <v>749</v>
      </c>
      <c r="B39" s="288"/>
      <c r="C39" s="288" t="s">
        <v>1093</v>
      </c>
      <c r="D39" s="288" t="s">
        <v>1094</v>
      </c>
      <c r="E39" s="76"/>
      <c r="F39" s="76"/>
      <c r="G39" s="76" t="s">
        <v>1051</v>
      </c>
      <c r="H39" s="76">
        <v>10</v>
      </c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</row>
    <row r="40" spans="1:20">
      <c r="A40" s="288" t="s">
        <v>779</v>
      </c>
      <c r="B40" s="288"/>
      <c r="C40" s="288" t="s">
        <v>1095</v>
      </c>
      <c r="D40" s="288" t="s">
        <v>1096</v>
      </c>
      <c r="E40" s="76"/>
      <c r="F40" s="76"/>
      <c r="G40" s="76" t="s">
        <v>1013</v>
      </c>
      <c r="H40" s="76">
        <v>10</v>
      </c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</row>
    <row r="41" spans="1:20">
      <c r="A41" s="288" t="s">
        <v>779</v>
      </c>
      <c r="B41" s="288"/>
      <c r="C41" s="288" t="s">
        <v>1097</v>
      </c>
      <c r="D41" s="288" t="s">
        <v>1096</v>
      </c>
      <c r="E41" s="76"/>
      <c r="F41" s="76"/>
      <c r="G41" s="76" t="s">
        <v>1013</v>
      </c>
      <c r="H41" s="76">
        <v>10</v>
      </c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</row>
    <row r="42" spans="1:20">
      <c r="A42" s="288" t="s">
        <v>696</v>
      </c>
      <c r="B42" s="288"/>
      <c r="C42" s="288" t="s">
        <v>1098</v>
      </c>
      <c r="D42" s="288" t="s">
        <v>1099</v>
      </c>
      <c r="E42" s="76"/>
      <c r="F42" s="76"/>
      <c r="G42" s="76" t="s">
        <v>1013</v>
      </c>
      <c r="H42" s="76">
        <v>10</v>
      </c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</row>
    <row r="43" spans="1:20">
      <c r="A43" s="288" t="s">
        <v>696</v>
      </c>
      <c r="B43" s="288"/>
      <c r="C43" s="288" t="s">
        <v>1100</v>
      </c>
      <c r="D43" s="288" t="s">
        <v>1099</v>
      </c>
      <c r="E43" s="76"/>
      <c r="F43" s="76"/>
      <c r="G43" s="76" t="s">
        <v>1013</v>
      </c>
      <c r="H43" s="76">
        <v>10</v>
      </c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D076-F64C-1B40-9295-B82BA1E25BB1}">
  <dimension ref="A1:A200"/>
  <sheetViews>
    <sheetView topLeftCell="A26" workbookViewId="0">
      <selection activeCell="A26" sqref="A26"/>
    </sheetView>
  </sheetViews>
  <sheetFormatPr baseColWidth="10" defaultRowHeight="15"/>
  <cols>
    <col min="1" max="1" width="189" bestFit="1" customWidth="1"/>
  </cols>
  <sheetData>
    <row r="1" spans="1:1">
      <c r="A1" s="198" t="s">
        <v>781</v>
      </c>
    </row>
    <row r="2" spans="1:1">
      <c r="A2" s="199" t="s">
        <v>782</v>
      </c>
    </row>
    <row r="3" spans="1:1">
      <c r="A3" s="199" t="s">
        <v>783</v>
      </c>
    </row>
    <row r="4" spans="1:1">
      <c r="A4" s="199" t="s">
        <v>784</v>
      </c>
    </row>
    <row r="5" spans="1:1">
      <c r="A5" s="199" t="s">
        <v>785</v>
      </c>
    </row>
    <row r="6" spans="1:1">
      <c r="A6" s="199" t="s">
        <v>786</v>
      </c>
    </row>
    <row r="7" spans="1:1">
      <c r="A7" s="199" t="s">
        <v>787</v>
      </c>
    </row>
    <row r="8" spans="1:1">
      <c r="A8" s="199" t="s">
        <v>788</v>
      </c>
    </row>
    <row r="9" spans="1:1">
      <c r="A9" s="199" t="s">
        <v>789</v>
      </c>
    </row>
    <row r="10" spans="1:1">
      <c r="A10" s="199" t="s">
        <v>790</v>
      </c>
    </row>
    <row r="11" spans="1:1">
      <c r="A11" s="199" t="s">
        <v>790</v>
      </c>
    </row>
    <row r="12" spans="1:1">
      <c r="A12" s="199" t="s">
        <v>791</v>
      </c>
    </row>
    <row r="13" spans="1:1">
      <c r="A13" s="199" t="s">
        <v>792</v>
      </c>
    </row>
    <row r="14" spans="1:1">
      <c r="A14" s="199" t="s">
        <v>793</v>
      </c>
    </row>
    <row r="15" spans="1:1">
      <c r="A15" s="200" t="s">
        <v>794</v>
      </c>
    </row>
    <row r="16" spans="1:1">
      <c r="A16" s="200" t="s">
        <v>795</v>
      </c>
    </row>
    <row r="17" spans="1:1">
      <c r="A17" s="200" t="s">
        <v>796</v>
      </c>
    </row>
    <row r="18" spans="1:1">
      <c r="A18" s="200" t="s">
        <v>797</v>
      </c>
    </row>
    <row r="19" spans="1:1">
      <c r="A19" s="200" t="s">
        <v>798</v>
      </c>
    </row>
    <row r="20" spans="1:1">
      <c r="A20" s="200" t="s">
        <v>799</v>
      </c>
    </row>
    <row r="21" spans="1:1">
      <c r="A21" s="200" t="s">
        <v>800</v>
      </c>
    </row>
    <row r="22" spans="1:1">
      <c r="A22" s="200" t="s">
        <v>801</v>
      </c>
    </row>
    <row r="23" spans="1:1">
      <c r="A23" s="200" t="s">
        <v>802</v>
      </c>
    </row>
    <row r="24" spans="1:1">
      <c r="A24" s="200" t="s">
        <v>803</v>
      </c>
    </row>
    <row r="25" spans="1:1">
      <c r="A25" s="200" t="s">
        <v>804</v>
      </c>
    </row>
    <row r="26" spans="1:1">
      <c r="A26" s="200" t="s">
        <v>805</v>
      </c>
    </row>
    <row r="27" spans="1:1">
      <c r="A27" s="199" t="s">
        <v>806</v>
      </c>
    </row>
    <row r="28" spans="1:1">
      <c r="A28" s="199" t="s">
        <v>807</v>
      </c>
    </row>
    <row r="29" spans="1:1">
      <c r="A29" s="199" t="s">
        <v>808</v>
      </c>
    </row>
    <row r="30" spans="1:1">
      <c r="A30" s="199" t="s">
        <v>809</v>
      </c>
    </row>
    <row r="31" spans="1:1">
      <c r="A31" s="199" t="s">
        <v>810</v>
      </c>
    </row>
    <row r="32" spans="1:1">
      <c r="A32" s="199" t="s">
        <v>811</v>
      </c>
    </row>
    <row r="33" spans="1:1">
      <c r="A33" s="200" t="s">
        <v>812</v>
      </c>
    </row>
    <row r="34" spans="1:1">
      <c r="A34" s="199" t="s">
        <v>813</v>
      </c>
    </row>
    <row r="35" spans="1:1">
      <c r="A35" s="199" t="s">
        <v>814</v>
      </c>
    </row>
    <row r="36" spans="1:1">
      <c r="A36" s="199" t="s">
        <v>815</v>
      </c>
    </row>
    <row r="37" spans="1:1">
      <c r="A37" s="199" t="s">
        <v>816</v>
      </c>
    </row>
    <row r="38" spans="1:1">
      <c r="A38" s="199" t="s">
        <v>817</v>
      </c>
    </row>
    <row r="39" spans="1:1">
      <c r="A39" s="199" t="s">
        <v>818</v>
      </c>
    </row>
    <row r="40" spans="1:1">
      <c r="A40" s="199" t="s">
        <v>819</v>
      </c>
    </row>
    <row r="41" spans="1:1">
      <c r="A41" s="199" t="s">
        <v>820</v>
      </c>
    </row>
    <row r="42" spans="1:1">
      <c r="A42" s="199" t="s">
        <v>821</v>
      </c>
    </row>
    <row r="43" spans="1:1">
      <c r="A43" s="199" t="s">
        <v>822</v>
      </c>
    </row>
    <row r="44" spans="1:1">
      <c r="A44" s="199" t="s">
        <v>823</v>
      </c>
    </row>
    <row r="45" spans="1:1">
      <c r="A45" s="199" t="s">
        <v>824</v>
      </c>
    </row>
    <row r="46" spans="1:1">
      <c r="A46" s="199" t="s">
        <v>825</v>
      </c>
    </row>
    <row r="47" spans="1:1">
      <c r="A47" s="199" t="s">
        <v>826</v>
      </c>
    </row>
    <row r="48" spans="1:1">
      <c r="A48" s="199" t="s">
        <v>827</v>
      </c>
    </row>
    <row r="49" spans="1:1">
      <c r="A49" s="199" t="s">
        <v>828</v>
      </c>
    </row>
    <row r="50" spans="1:1">
      <c r="A50" s="199" t="s">
        <v>829</v>
      </c>
    </row>
    <row r="51" spans="1:1">
      <c r="A51" s="199" t="s">
        <v>830</v>
      </c>
    </row>
    <row r="52" spans="1:1">
      <c r="A52" s="200" t="s">
        <v>831</v>
      </c>
    </row>
    <row r="53" spans="1:1">
      <c r="A53" s="200" t="s">
        <v>832</v>
      </c>
    </row>
    <row r="54" spans="1:1">
      <c r="A54" s="201" t="s">
        <v>833</v>
      </c>
    </row>
    <row r="55" spans="1:1">
      <c r="A55" s="200" t="s">
        <v>834</v>
      </c>
    </row>
    <row r="56" spans="1:1">
      <c r="A56" s="200" t="s">
        <v>835</v>
      </c>
    </row>
    <row r="57" spans="1:1">
      <c r="A57" s="200" t="s">
        <v>836</v>
      </c>
    </row>
    <row r="58" spans="1:1">
      <c r="A58" s="200" t="s">
        <v>837</v>
      </c>
    </row>
    <row r="59" spans="1:1">
      <c r="A59" s="200" t="s">
        <v>838</v>
      </c>
    </row>
    <row r="60" spans="1:1">
      <c r="A60" s="199" t="s">
        <v>839</v>
      </c>
    </row>
    <row r="61" spans="1:1">
      <c r="A61" s="199" t="s">
        <v>840</v>
      </c>
    </row>
    <row r="62" spans="1:1">
      <c r="A62" s="199" t="s">
        <v>841</v>
      </c>
    </row>
    <row r="63" spans="1:1">
      <c r="A63" s="200" t="s">
        <v>842</v>
      </c>
    </row>
    <row r="64" spans="1:1">
      <c r="A64" s="199" t="s">
        <v>843</v>
      </c>
    </row>
    <row r="65" spans="1:1">
      <c r="A65" s="199" t="s">
        <v>844</v>
      </c>
    </row>
    <row r="66" spans="1:1">
      <c r="A66" s="199" t="s">
        <v>845</v>
      </c>
    </row>
    <row r="67" spans="1:1">
      <c r="A67" s="200" t="s">
        <v>846</v>
      </c>
    </row>
    <row r="68" spans="1:1">
      <c r="A68" s="200" t="s">
        <v>847</v>
      </c>
    </row>
    <row r="69" spans="1:1">
      <c r="A69" s="200" t="s">
        <v>848</v>
      </c>
    </row>
    <row r="70" spans="1:1">
      <c r="A70" s="200" t="s">
        <v>849</v>
      </c>
    </row>
    <row r="71" spans="1:1">
      <c r="A71" s="200" t="s">
        <v>850</v>
      </c>
    </row>
    <row r="72" spans="1:1">
      <c r="A72" s="200" t="s">
        <v>851</v>
      </c>
    </row>
    <row r="73" spans="1:1">
      <c r="A73" s="200" t="s">
        <v>852</v>
      </c>
    </row>
    <row r="74" spans="1:1">
      <c r="A74" s="200" t="s">
        <v>853</v>
      </c>
    </row>
    <row r="75" spans="1:1">
      <c r="A75" s="200" t="s">
        <v>854</v>
      </c>
    </row>
    <row r="76" spans="1:1">
      <c r="A76" s="200" t="s">
        <v>855</v>
      </c>
    </row>
    <row r="77" spans="1:1">
      <c r="A77" s="200" t="s">
        <v>856</v>
      </c>
    </row>
    <row r="78" spans="1:1">
      <c r="A78" s="200" t="s">
        <v>857</v>
      </c>
    </row>
    <row r="79" spans="1:1">
      <c r="A79" s="200" t="s">
        <v>858</v>
      </c>
    </row>
    <row r="80" spans="1:1">
      <c r="A80" s="200" t="s">
        <v>859</v>
      </c>
    </row>
    <row r="81" spans="1:1">
      <c r="A81" s="200" t="s">
        <v>860</v>
      </c>
    </row>
    <row r="82" spans="1:1">
      <c r="A82" s="200" t="s">
        <v>861</v>
      </c>
    </row>
    <row r="83" spans="1:1">
      <c r="A83" s="200" t="s">
        <v>862</v>
      </c>
    </row>
    <row r="84" spans="1:1">
      <c r="A84" s="200" t="s">
        <v>863</v>
      </c>
    </row>
    <row r="85" spans="1:1">
      <c r="A85" s="200" t="s">
        <v>864</v>
      </c>
    </row>
    <row r="86" spans="1:1">
      <c r="A86" s="200" t="s">
        <v>865</v>
      </c>
    </row>
    <row r="87" spans="1:1">
      <c r="A87" s="199" t="s">
        <v>866</v>
      </c>
    </row>
    <row r="88" spans="1:1">
      <c r="A88" s="200" t="s">
        <v>867</v>
      </c>
    </row>
    <row r="89" spans="1:1">
      <c r="A89" s="200" t="s">
        <v>868</v>
      </c>
    </row>
    <row r="90" spans="1:1">
      <c r="A90" s="200" t="s">
        <v>869</v>
      </c>
    </row>
    <row r="91" spans="1:1">
      <c r="A91" s="200" t="s">
        <v>870</v>
      </c>
    </row>
    <row r="92" spans="1:1">
      <c r="A92" s="200" t="s">
        <v>871</v>
      </c>
    </row>
    <row r="93" spans="1:1">
      <c r="A93" s="200" t="s">
        <v>872</v>
      </c>
    </row>
    <row r="94" spans="1:1">
      <c r="A94" s="199" t="s">
        <v>873</v>
      </c>
    </row>
    <row r="95" spans="1:1">
      <c r="A95" s="199" t="s">
        <v>874</v>
      </c>
    </row>
    <row r="96" spans="1:1">
      <c r="A96" s="199" t="s">
        <v>875</v>
      </c>
    </row>
    <row r="97" spans="1:1">
      <c r="A97" s="199" t="s">
        <v>876</v>
      </c>
    </row>
    <row r="98" spans="1:1">
      <c r="A98" s="199" t="s">
        <v>877</v>
      </c>
    </row>
    <row r="99" spans="1:1">
      <c r="A99" s="199" t="s">
        <v>878</v>
      </c>
    </row>
    <row r="100" spans="1:1">
      <c r="A100" s="199" t="s">
        <v>879</v>
      </c>
    </row>
    <row r="101" spans="1:1">
      <c r="A101" s="199" t="s">
        <v>880</v>
      </c>
    </row>
    <row r="102" spans="1:1">
      <c r="A102" s="200" t="s">
        <v>881</v>
      </c>
    </row>
    <row r="103" spans="1:1">
      <c r="A103" s="200" t="s">
        <v>882</v>
      </c>
    </row>
    <row r="104" spans="1:1">
      <c r="A104" s="200" t="s">
        <v>883</v>
      </c>
    </row>
    <row r="105" spans="1:1">
      <c r="A105" s="200" t="s">
        <v>884</v>
      </c>
    </row>
    <row r="106" spans="1:1">
      <c r="A106" s="200" t="s">
        <v>885</v>
      </c>
    </row>
    <row r="107" spans="1:1">
      <c r="A107" s="200" t="s">
        <v>886</v>
      </c>
    </row>
    <row r="108" spans="1:1">
      <c r="A108" s="200" t="s">
        <v>887</v>
      </c>
    </row>
    <row r="109" spans="1:1">
      <c r="A109" s="200" t="s">
        <v>888</v>
      </c>
    </row>
    <row r="110" spans="1:1">
      <c r="A110" s="200" t="s">
        <v>889</v>
      </c>
    </row>
    <row r="111" spans="1:1">
      <c r="A111" s="200" t="s">
        <v>890</v>
      </c>
    </row>
    <row r="112" spans="1:1">
      <c r="A112" s="200" t="s">
        <v>891</v>
      </c>
    </row>
    <row r="113" spans="1:1">
      <c r="A113" s="200" t="s">
        <v>892</v>
      </c>
    </row>
    <row r="114" spans="1:1">
      <c r="A114" s="200" t="s">
        <v>893</v>
      </c>
    </row>
    <row r="115" spans="1:1">
      <c r="A115" s="200" t="s">
        <v>894</v>
      </c>
    </row>
    <row r="116" spans="1:1">
      <c r="A116" s="200" t="s">
        <v>895</v>
      </c>
    </row>
    <row r="117" spans="1:1">
      <c r="A117" s="200" t="s">
        <v>896</v>
      </c>
    </row>
    <row r="118" spans="1:1">
      <c r="A118" s="200" t="s">
        <v>897</v>
      </c>
    </row>
    <row r="119" spans="1:1">
      <c r="A119" s="200" t="s">
        <v>898</v>
      </c>
    </row>
    <row r="120" spans="1:1">
      <c r="A120" s="200" t="s">
        <v>899</v>
      </c>
    </row>
    <row r="121" spans="1:1">
      <c r="A121" s="200" t="s">
        <v>900</v>
      </c>
    </row>
    <row r="122" spans="1:1">
      <c r="A122" s="200" t="s">
        <v>901</v>
      </c>
    </row>
    <row r="123" spans="1:1">
      <c r="A123" s="200" t="s">
        <v>902</v>
      </c>
    </row>
    <row r="124" spans="1:1">
      <c r="A124" s="200" t="s">
        <v>903</v>
      </c>
    </row>
    <row r="125" spans="1:1">
      <c r="A125" s="200" t="s">
        <v>904</v>
      </c>
    </row>
    <row r="126" spans="1:1">
      <c r="A126" s="200" t="s">
        <v>905</v>
      </c>
    </row>
    <row r="127" spans="1:1">
      <c r="A127" s="200" t="s">
        <v>906</v>
      </c>
    </row>
    <row r="128" spans="1:1">
      <c r="A128" s="200" t="s">
        <v>907</v>
      </c>
    </row>
    <row r="129" spans="1:1">
      <c r="A129" s="200" t="s">
        <v>908</v>
      </c>
    </row>
    <row r="130" spans="1:1">
      <c r="A130" s="200" t="s">
        <v>909</v>
      </c>
    </row>
    <row r="131" spans="1:1">
      <c r="A131" s="199" t="s">
        <v>910</v>
      </c>
    </row>
    <row r="132" spans="1:1">
      <c r="A132" s="200" t="s">
        <v>911</v>
      </c>
    </row>
    <row r="133" spans="1:1">
      <c r="A133" s="200" t="s">
        <v>912</v>
      </c>
    </row>
    <row r="134" spans="1:1">
      <c r="A134" s="199" t="s">
        <v>913</v>
      </c>
    </row>
    <row r="135" spans="1:1">
      <c r="A135" s="200" t="s">
        <v>914</v>
      </c>
    </row>
    <row r="136" spans="1:1">
      <c r="A136" s="200" t="s">
        <v>915</v>
      </c>
    </row>
    <row r="137" spans="1:1">
      <c r="A137" s="200" t="s">
        <v>916</v>
      </c>
    </row>
    <row r="138" spans="1:1">
      <c r="A138" s="200" t="s">
        <v>917</v>
      </c>
    </row>
    <row r="139" spans="1:1">
      <c r="A139" s="200" t="s">
        <v>918</v>
      </c>
    </row>
    <row r="140" spans="1:1">
      <c r="A140" s="200" t="s">
        <v>919</v>
      </c>
    </row>
    <row r="141" spans="1:1">
      <c r="A141" s="200" t="s">
        <v>920</v>
      </c>
    </row>
    <row r="142" spans="1:1">
      <c r="A142" s="200" t="s">
        <v>921</v>
      </c>
    </row>
    <row r="143" spans="1:1">
      <c r="A143" s="199" t="s">
        <v>922</v>
      </c>
    </row>
    <row r="144" spans="1:1">
      <c r="A144" s="200" t="s">
        <v>923</v>
      </c>
    </row>
    <row r="145" spans="1:1">
      <c r="A145" s="200" t="s">
        <v>924</v>
      </c>
    </row>
    <row r="146" spans="1:1">
      <c r="A146" s="200" t="s">
        <v>925</v>
      </c>
    </row>
    <row r="147" spans="1:1">
      <c r="A147" s="200" t="s">
        <v>926</v>
      </c>
    </row>
    <row r="148" spans="1:1">
      <c r="A148" s="200" t="s">
        <v>927</v>
      </c>
    </row>
    <row r="149" spans="1:1">
      <c r="A149" s="200" t="s">
        <v>928</v>
      </c>
    </row>
    <row r="150" spans="1:1">
      <c r="A150" s="200" t="s">
        <v>929</v>
      </c>
    </row>
    <row r="151" spans="1:1">
      <c r="A151" s="200" t="s">
        <v>930</v>
      </c>
    </row>
    <row r="152" spans="1:1">
      <c r="A152" s="200" t="s">
        <v>931</v>
      </c>
    </row>
    <row r="153" spans="1:1">
      <c r="A153" s="200" t="s">
        <v>932</v>
      </c>
    </row>
    <row r="154" spans="1:1">
      <c r="A154" s="200" t="s">
        <v>933</v>
      </c>
    </row>
    <row r="155" spans="1:1">
      <c r="A155" s="200" t="s">
        <v>934</v>
      </c>
    </row>
    <row r="156" spans="1:1">
      <c r="A156" s="200" t="s">
        <v>935</v>
      </c>
    </row>
    <row r="157" spans="1:1">
      <c r="A157" s="200" t="s">
        <v>936</v>
      </c>
    </row>
    <row r="158" spans="1:1">
      <c r="A158" s="200" t="s">
        <v>937</v>
      </c>
    </row>
    <row r="159" spans="1:1">
      <c r="A159" s="200" t="s">
        <v>938</v>
      </c>
    </row>
    <row r="160" spans="1:1">
      <c r="A160" s="200" t="s">
        <v>939</v>
      </c>
    </row>
    <row r="161" spans="1:1">
      <c r="A161" s="200" t="s">
        <v>940</v>
      </c>
    </row>
    <row r="162" spans="1:1">
      <c r="A162" s="200" t="s">
        <v>941</v>
      </c>
    </row>
    <row r="163" spans="1:1">
      <c r="A163" s="200" t="s">
        <v>942</v>
      </c>
    </row>
    <row r="164" spans="1:1">
      <c r="A164" s="200" t="s">
        <v>943</v>
      </c>
    </row>
    <row r="165" spans="1:1">
      <c r="A165" s="200" t="s">
        <v>944</v>
      </c>
    </row>
    <row r="166" spans="1:1">
      <c r="A166" s="200" t="s">
        <v>945</v>
      </c>
    </row>
    <row r="167" spans="1:1">
      <c r="A167" s="200" t="s">
        <v>946</v>
      </c>
    </row>
    <row r="168" spans="1:1">
      <c r="A168" s="200" t="s">
        <v>947</v>
      </c>
    </row>
    <row r="169" spans="1:1">
      <c r="A169" s="200" t="s">
        <v>948</v>
      </c>
    </row>
    <row r="170" spans="1:1">
      <c r="A170" s="200" t="s">
        <v>949</v>
      </c>
    </row>
    <row r="171" spans="1:1">
      <c r="A171" s="200" t="s">
        <v>950</v>
      </c>
    </row>
    <row r="172" spans="1:1">
      <c r="A172" s="200" t="s">
        <v>951</v>
      </c>
    </row>
    <row r="173" spans="1:1">
      <c r="A173" s="200" t="s">
        <v>952</v>
      </c>
    </row>
    <row r="174" spans="1:1">
      <c r="A174" s="200" t="s">
        <v>953</v>
      </c>
    </row>
    <row r="175" spans="1:1">
      <c r="A175" s="200" t="s">
        <v>954</v>
      </c>
    </row>
    <row r="176" spans="1:1">
      <c r="A176" s="200" t="s">
        <v>955</v>
      </c>
    </row>
    <row r="177" spans="1:1">
      <c r="A177" s="200" t="s">
        <v>956</v>
      </c>
    </row>
    <row r="178" spans="1:1">
      <c r="A178" s="200" t="s">
        <v>957</v>
      </c>
    </row>
    <row r="179" spans="1:1">
      <c r="A179" s="199" t="s">
        <v>958</v>
      </c>
    </row>
    <row r="180" spans="1:1">
      <c r="A180" s="200" t="s">
        <v>959</v>
      </c>
    </row>
    <row r="181" spans="1:1">
      <c r="A181" s="200" t="s">
        <v>960</v>
      </c>
    </row>
    <row r="182" spans="1:1">
      <c r="A182" s="200" t="s">
        <v>961</v>
      </c>
    </row>
    <row r="183" spans="1:1">
      <c r="A183" s="200" t="s">
        <v>962</v>
      </c>
    </row>
    <row r="184" spans="1:1">
      <c r="A184" s="200" t="s">
        <v>963</v>
      </c>
    </row>
    <row r="185" spans="1:1">
      <c r="A185" s="200" t="s">
        <v>964</v>
      </c>
    </row>
    <row r="186" spans="1:1">
      <c r="A186" s="200" t="s">
        <v>965</v>
      </c>
    </row>
    <row r="187" spans="1:1">
      <c r="A187" s="200" t="s">
        <v>966</v>
      </c>
    </row>
    <row r="188" spans="1:1">
      <c r="A188" s="200" t="s">
        <v>967</v>
      </c>
    </row>
    <row r="189" spans="1:1">
      <c r="A189" s="200" t="s">
        <v>968</v>
      </c>
    </row>
    <row r="190" spans="1:1">
      <c r="A190" s="200" t="s">
        <v>969</v>
      </c>
    </row>
    <row r="191" spans="1:1">
      <c r="A191" s="200" t="s">
        <v>970</v>
      </c>
    </row>
    <row r="192" spans="1:1">
      <c r="A192" s="200" t="s">
        <v>971</v>
      </c>
    </row>
    <row r="193" spans="1:1">
      <c r="A193" s="200" t="s">
        <v>972</v>
      </c>
    </row>
    <row r="194" spans="1:1">
      <c r="A194" s="200" t="s">
        <v>973</v>
      </c>
    </row>
    <row r="195" spans="1:1">
      <c r="A195" s="200" t="s">
        <v>974</v>
      </c>
    </row>
    <row r="196" spans="1:1">
      <c r="A196" s="200" t="s">
        <v>975</v>
      </c>
    </row>
    <row r="197" spans="1:1">
      <c r="A197" s="200" t="s">
        <v>976</v>
      </c>
    </row>
    <row r="198" spans="1:1">
      <c r="A198" s="200" t="s">
        <v>977</v>
      </c>
    </row>
    <row r="199" spans="1:1">
      <c r="A199" s="200" t="s">
        <v>978</v>
      </c>
    </row>
    <row r="200" spans="1:1">
      <c r="A200" s="200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15</vt:i4>
      </vt:variant>
    </vt:vector>
  </HeadingPairs>
  <TitlesOfParts>
    <vt:vector size="15" baseType="lpstr">
      <vt:lpstr>Information</vt:lpstr>
      <vt:lpstr>Seal Test Info</vt:lpstr>
      <vt:lpstr>STF Sum</vt:lpstr>
      <vt:lpstr>Utrustninglista IPT</vt:lpstr>
      <vt:lpstr>Funktionella Error</vt:lpstr>
      <vt:lpstr>Infinity GX</vt:lpstr>
      <vt:lpstr>Information2</vt:lpstr>
      <vt:lpstr>MTB ULTRA</vt:lpstr>
      <vt:lpstr>SharePoint Info</vt:lpstr>
      <vt:lpstr>ResultRules</vt:lpstr>
      <vt:lpstr>ErrorCode</vt:lpstr>
      <vt:lpstr>ExpectedResults</vt:lpstr>
      <vt:lpstr>GeneralRules</vt:lpstr>
      <vt:lpstr>Blad1</vt:lpstr>
      <vt:lpstr>Instrument Error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Jesper Fredriksson (elev)</cp:lastModifiedBy>
  <dcterms:created xsi:type="dcterms:W3CDTF">2025-07-29T07:33:43Z</dcterms:created>
  <dcterms:modified xsi:type="dcterms:W3CDTF">2026-01-03T13:48:08Z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2025-07-29T07:55:16Z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25a08a40-2e41-48e0-9b8c-95c3d6622262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